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.votuan\Downloads\"/>
    </mc:Choice>
  </mc:AlternateContent>
  <bookViews>
    <workbookView xWindow="0" yWindow="0" windowWidth="28800" windowHeight="12330"/>
  </bookViews>
  <sheets>
    <sheet name="PhieuThuNhapKhac" sheetId="1" r:id="rId1"/>
    <sheet name="Sheet4" sheetId="5" r:id="rId2"/>
    <sheet name="Sheet2" sheetId="2" r:id="rId3"/>
    <sheet name="Sheet3" sheetId="3" r:id="rId4"/>
    <sheet name="Sheet1" sheetId="4" r:id="rId5"/>
  </sheets>
  <definedNames>
    <definedName name="_xlnm._FilterDatabase" localSheetId="0" hidden="1">PhieuThuNhapKhac!$A$1:$F$32</definedName>
    <definedName name="_xlnm._FilterDatabase" localSheetId="4" hidden="1">Sheet1!$A$1:$F$65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F3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F2" i="4"/>
  <c r="E2" i="4"/>
</calcChain>
</file>

<file path=xl/sharedStrings.xml><?xml version="1.0" encoding="utf-8"?>
<sst xmlns="http://schemas.openxmlformats.org/spreadsheetml/2006/main" count="289" uniqueCount="134">
  <si>
    <t>Tháng</t>
  </si>
  <si>
    <t>Năm</t>
  </si>
  <si>
    <t>Số tiền</t>
  </si>
  <si>
    <t>Mã loại thu nhập</t>
  </si>
  <si>
    <t>Lý do</t>
  </si>
  <si>
    <t>Tên nhân viên</t>
  </si>
  <si>
    <t>PhaiThuKhac</t>
  </si>
  <si>
    <t>NV-1511112</t>
  </si>
  <si>
    <t xml:space="preserve"> Tô Văn Giàu</t>
  </si>
  <si>
    <t>Quản trị CL, BTBH</t>
  </si>
  <si>
    <t>Chi phí lưu động</t>
  </si>
  <si>
    <t>Xóa</t>
  </si>
  <si>
    <t>NV-1604136</t>
  </si>
  <si>
    <t xml:space="preserve"> Võ Trung Giang</t>
  </si>
  <si>
    <t>Nhà Máy</t>
  </si>
  <si>
    <t>NV-1508045</t>
  </si>
  <si>
    <t xml:space="preserve"> Huỳnh Ngọc Điệp</t>
  </si>
  <si>
    <t>HT PEARL</t>
  </si>
  <si>
    <t>PC công trình tỉnh</t>
  </si>
  <si>
    <t>NV-1508035</t>
  </si>
  <si>
    <t xml:space="preserve"> Nguyễn Ngọc Hiếu</t>
  </si>
  <si>
    <t>NV-1609161</t>
  </si>
  <si>
    <t xml:space="preserve"> Nguyễn Minh Sang</t>
  </si>
  <si>
    <t>NV-228</t>
  </si>
  <si>
    <t xml:space="preserve"> Nhan Sở Quốc</t>
  </si>
  <si>
    <t>NV-203</t>
  </si>
  <si>
    <t xml:space="preserve"> Trương Đình Dân</t>
  </si>
  <si>
    <t>NV-1603132</t>
  </si>
  <si>
    <t xml:space="preserve"> Thiều Ngọc Hiệp</t>
  </si>
  <si>
    <t>PC công trình tỉnh+ Truy lãnh 1.5tr PC kiêm nhiệm T1</t>
  </si>
  <si>
    <t>NV-341</t>
  </si>
  <si>
    <t xml:space="preserve"> Trần Khả</t>
  </si>
  <si>
    <t>NV-218</t>
  </si>
  <si>
    <t xml:space="preserve"> Nguyễn Tấn Sang</t>
  </si>
  <si>
    <t>BCH CT Charm Long Hải</t>
  </si>
  <si>
    <t>Truy lãnh PC kiêm nhiệm T1</t>
  </si>
  <si>
    <t>NV-313</t>
  </si>
  <si>
    <t xml:space="preserve"> Nguyễn Thị Thu Thuỷ</t>
  </si>
  <si>
    <t>Phòng Hành chính-Nhân sự</t>
  </si>
  <si>
    <t>NV-1507034</t>
  </si>
  <si>
    <t xml:space="preserve"> Đỗ Hữu Phước</t>
  </si>
  <si>
    <t>Cung ứng</t>
  </si>
  <si>
    <t>PC kiêm nhiệm từ T9 (1.5tr/tháng)</t>
  </si>
  <si>
    <t>NV-325</t>
  </si>
  <si>
    <t xml:space="preserve"> Lê Thị Ánh Ngọc</t>
  </si>
  <si>
    <t>PC kiêm nhiệm từ T9 (1tr/tháng)</t>
  </si>
  <si>
    <t>NV-1508072</t>
  </si>
  <si>
    <t xml:space="preserve"> Thiều Ngọc Hào</t>
  </si>
  <si>
    <t>BCH Z2</t>
  </si>
  <si>
    <t>NV-1611167</t>
  </si>
  <si>
    <t xml:space="preserve"> Phạm Văn Tiên</t>
  </si>
  <si>
    <t>KPI tài xế</t>
  </si>
  <si>
    <t>NV-1511115</t>
  </si>
  <si>
    <t xml:space="preserve"> Nguyễn Phước Hưng</t>
  </si>
  <si>
    <t>PC chức vụ PGĐ nhà máy (3tr/tháng từ T8/2022)</t>
  </si>
  <si>
    <t>CongTacPhi</t>
  </si>
  <si>
    <t>Tô Văn Giàu</t>
  </si>
  <si>
    <t>Công tác phí CHT</t>
  </si>
  <si>
    <t>Công tác phí BP QAQC &amp; BHBT</t>
  </si>
  <si>
    <t>PC kiêm nhiệm từ T9/2023 (1.5+1 tr/tháng)</t>
  </si>
  <si>
    <t>Hồ Thị Thu Hiền</t>
  </si>
  <si>
    <t xml:space="preserve">Huỳnh Nguyễn Hồng Lý </t>
  </si>
  <si>
    <t>PC nhiêm nhiệm từ T3/2024 (2tr/tháng)</t>
  </si>
  <si>
    <t>NV-1507026</t>
  </si>
  <si>
    <t> Nguyễn Đức Hùng</t>
  </si>
  <si>
    <t>NV-1507027</t>
  </si>
  <si>
    <t> Phạm Đình Trọng</t>
  </si>
  <si>
    <t>NV-1508060</t>
  </si>
  <si>
    <t> Nguyễn Thị Thí</t>
  </si>
  <si>
    <t>NV-1508061</t>
  </si>
  <si>
    <t> Nguyễn Văn Nhớ</t>
  </si>
  <si>
    <t>NV-1508078</t>
  </si>
  <si>
    <t> Hồ Thanh Tùng</t>
  </si>
  <si>
    <t>NV-1509104</t>
  </si>
  <si>
    <t> Trần Vũ Linh</t>
  </si>
  <si>
    <t>NV-1603128</t>
  </si>
  <si>
    <t> Võ Quang Phong</t>
  </si>
  <si>
    <t>NV-1607149</t>
  </si>
  <si>
    <t> Nguyễn Minh Đúng</t>
  </si>
  <si>
    <t>NV-174</t>
  </si>
  <si>
    <t> Đặng Vũ Hải</t>
  </si>
  <si>
    <t>NV-175</t>
  </si>
  <si>
    <t> Phạm Quốc Dũng</t>
  </si>
  <si>
    <t>NV-243</t>
  </si>
  <si>
    <t> Võ Quốc Cấm</t>
  </si>
  <si>
    <t>NV-244</t>
  </si>
  <si>
    <t> Nguyễn Thị Phượng</t>
  </si>
  <si>
    <t>NV-268</t>
  </si>
  <si>
    <t> Hà Trọng Tuấn</t>
  </si>
  <si>
    <t>NV-276</t>
  </si>
  <si>
    <t> Trần Minh Dũng</t>
  </si>
  <si>
    <t>NV-288</t>
  </si>
  <si>
    <t> Ngô Anh Chiến</t>
  </si>
  <si>
    <t>NV-195</t>
  </si>
  <si>
    <t> Lâm Trường Hải</t>
  </si>
  <si>
    <t>CT Vườn Ươm DN TTC</t>
  </si>
  <si>
    <t>Nguyễn Thanh Hùng</t>
  </si>
  <si>
    <t>Võ Hoàng Long</t>
  </si>
  <si>
    <t>Nguyễn Anh Hùng</t>
  </si>
  <si>
    <t>Ngô Thúy Loan</t>
  </si>
  <si>
    <t>5S</t>
  </si>
  <si>
    <t>Chi phí lưu động (1500k)+ 5S tháng+PC lương+CT</t>
  </si>
  <si>
    <t>5S + PC lương</t>
  </si>
  <si>
    <t xml:space="preserve"> PC lương + Công tác</t>
  </si>
  <si>
    <t>PC lương</t>
  </si>
  <si>
    <t>Hà Trọng Tuấn</t>
  </si>
  <si>
    <t>Nguyễn Đức Hùng</t>
  </si>
  <si>
    <t>Phạm Đình Trọng</t>
  </si>
  <si>
    <t>Nguyễn Thị Thí</t>
  </si>
  <si>
    <t>Nguyễn Văn Nhớ</t>
  </si>
  <si>
    <t>Hồ Thanh Tùng</t>
  </si>
  <si>
    <t>Trần Vũ Linh</t>
  </si>
  <si>
    <t>Võ Quang Phong</t>
  </si>
  <si>
    <t>Nguyễn Minh Đúng</t>
  </si>
  <si>
    <t>Đặng Vũ Hải</t>
  </si>
  <si>
    <t>Phạm Quốc Dũng</t>
  </si>
  <si>
    <t>Võ Quốc Cấm</t>
  </si>
  <si>
    <t>Nguyễn Thị Phượng</t>
  </si>
  <si>
    <t>Trần Minh Dũng</t>
  </si>
  <si>
    <t>Ngô Anh Chiến</t>
  </si>
  <si>
    <t>Nguyễn Phước Hưng</t>
  </si>
  <si>
    <t>Võ Trung Giang</t>
  </si>
  <si>
    <t>Lê Hoàng Nghiệm</t>
  </si>
  <si>
    <t>Giả Thanh hiếu</t>
  </si>
  <si>
    <t>PC chức vụ PGĐ nhà máy (3tr/tháng từ T8/2022) + PC lương</t>
  </si>
  <si>
    <t xml:space="preserve"> PC lương </t>
  </si>
  <si>
    <t>Hà Thúc Muôn</t>
  </si>
  <si>
    <t>Công tác</t>
  </si>
  <si>
    <t>PC lương + CT phí</t>
  </si>
  <si>
    <t>5S + PC lương +CT phí</t>
  </si>
  <si>
    <t>5S + PC lương + CT Phí</t>
  </si>
  <si>
    <t>5S + PC lương + công tác</t>
  </si>
  <si>
    <t>2026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</si>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</sst>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9"/>
      <color rgb="FF222222"/>
      <name val="Consolas"/>
      <family val="3"/>
      <charset val="163"/>
    </font>
    <font>
      <sz val="11"/>
      <color theme="1"/>
      <name val="Times New Roman"/>
      <family val="1"/>
    </font>
    <font>
      <sz val="13"/>
      <color rgb="FF000000"/>
      <name val="Times New Roman"/>
      <family val="1"/>
      <charset val="163"/>
    </font>
    <font>
      <sz val="10"/>
      <color rgb="FF333333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2" borderId="2" xfId="0" applyFont="1" applyFill="1" applyBorder="1"/>
    <xf numFmtId="0" fontId="1" fillId="0" borderId="0" xfId="0" applyFont="1"/>
    <xf numFmtId="49" fontId="1" fillId="2" borderId="2" xfId="0" applyNumberFormat="1" applyFont="1" applyFill="1" applyBorder="1"/>
    <xf numFmtId="49" fontId="0" fillId="0" borderId="0" xfId="0" applyNumberFormat="1"/>
    <xf numFmtId="49" fontId="1" fillId="2" borderId="1" xfId="0" applyNumberFormat="1" applyFont="1" applyFill="1" applyBorder="1"/>
    <xf numFmtId="0" fontId="6" fillId="0" borderId="0" xfId="0" applyFont="1"/>
    <xf numFmtId="49" fontId="0" fillId="0" borderId="3" xfId="0" applyNumberFormat="1" applyBorder="1"/>
    <xf numFmtId="0" fontId="4" fillId="0" borderId="4" xfId="0" applyFont="1" applyBorder="1"/>
    <xf numFmtId="3" fontId="0" fillId="0" borderId="0" xfId="0" applyNumberFormat="1"/>
    <xf numFmtId="0" fontId="4" fillId="0" borderId="5" xfId="0" applyFont="1" applyBorder="1"/>
    <xf numFmtId="0" fontId="3" fillId="0" borderId="0" xfId="1" applyFont="1" applyAlignment="1">
      <alignment horizontal="left" vertical="center"/>
    </xf>
    <xf numFmtId="0" fontId="4" fillId="0" borderId="0" xfId="0" applyFont="1"/>
    <xf numFmtId="0" fontId="0" fillId="3" borderId="0" xfId="0" applyFill="1"/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vertical="center" wrapText="1"/>
    </xf>
    <xf numFmtId="0" fontId="0" fillId="6" borderId="0" xfId="0" applyFill="1"/>
    <xf numFmtId="37" fontId="5" fillId="6" borderId="0" xfId="0" applyNumberFormat="1" applyFont="1" applyFill="1"/>
    <xf numFmtId="164" fontId="0" fillId="0" borderId="0" xfId="0" applyNumberFormat="1"/>
    <xf numFmtId="0" fontId="0" fillId="7" borderId="0" xfId="0" applyFill="1"/>
    <xf numFmtId="49" fontId="1" fillId="8" borderId="2" xfId="0" applyNumberFormat="1" applyFont="1" applyFill="1" applyBorder="1"/>
    <xf numFmtId="49" fontId="0" fillId="8" borderId="3" xfId="0" applyNumberFormat="1" applyFill="1" applyBorder="1"/>
    <xf numFmtId="49" fontId="0" fillId="8" borderId="0" xfId="0" applyNumberFormat="1" applyFill="1"/>
  </cellXfs>
  <cellStyles count="2">
    <cellStyle name="Normal" xfId="0" builtinId="0"/>
    <cellStyle name="Normal 2 5" xfId="1"/>
  </cellStyles>
  <dxfs count="1">
    <dxf>
      <fill>
        <patternFill patternType="lightGray"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3.emf"/><Relationship Id="rId13" Type="http://schemas.openxmlformats.org/officeDocument/2006/relationships/image" Target="../media/image18.emf"/><Relationship Id="rId18" Type="http://schemas.openxmlformats.org/officeDocument/2006/relationships/image" Target="../media/image13.emf"/><Relationship Id="rId26" Type="http://schemas.openxmlformats.org/officeDocument/2006/relationships/image" Target="../media/image5.emf"/><Relationship Id="rId3" Type="http://schemas.openxmlformats.org/officeDocument/2006/relationships/image" Target="../media/image28.emf"/><Relationship Id="rId21" Type="http://schemas.openxmlformats.org/officeDocument/2006/relationships/image" Target="../media/image10.emf"/><Relationship Id="rId7" Type="http://schemas.openxmlformats.org/officeDocument/2006/relationships/image" Target="../media/image24.emf"/><Relationship Id="rId12" Type="http://schemas.openxmlformats.org/officeDocument/2006/relationships/image" Target="../media/image19.emf"/><Relationship Id="rId17" Type="http://schemas.openxmlformats.org/officeDocument/2006/relationships/image" Target="../media/image14.emf"/><Relationship Id="rId25" Type="http://schemas.openxmlformats.org/officeDocument/2006/relationships/image" Target="../media/image6.emf"/><Relationship Id="rId2" Type="http://schemas.openxmlformats.org/officeDocument/2006/relationships/image" Target="../media/image29.emf"/><Relationship Id="rId16" Type="http://schemas.openxmlformats.org/officeDocument/2006/relationships/image" Target="../media/image15.emf"/><Relationship Id="rId20" Type="http://schemas.openxmlformats.org/officeDocument/2006/relationships/image" Target="../media/image11.emf"/><Relationship Id="rId29" Type="http://schemas.openxmlformats.org/officeDocument/2006/relationships/image" Target="../media/image2.emf"/><Relationship Id="rId1" Type="http://schemas.openxmlformats.org/officeDocument/2006/relationships/image" Target="../media/image30.emf"/><Relationship Id="rId6" Type="http://schemas.openxmlformats.org/officeDocument/2006/relationships/image" Target="../media/image25.emf"/><Relationship Id="rId11" Type="http://schemas.openxmlformats.org/officeDocument/2006/relationships/image" Target="../media/image20.emf"/><Relationship Id="rId24" Type="http://schemas.openxmlformats.org/officeDocument/2006/relationships/image" Target="../media/image7.emf"/><Relationship Id="rId5" Type="http://schemas.openxmlformats.org/officeDocument/2006/relationships/image" Target="../media/image26.emf"/><Relationship Id="rId15" Type="http://schemas.openxmlformats.org/officeDocument/2006/relationships/image" Target="../media/image16.emf"/><Relationship Id="rId23" Type="http://schemas.openxmlformats.org/officeDocument/2006/relationships/image" Target="../media/image8.emf"/><Relationship Id="rId28" Type="http://schemas.openxmlformats.org/officeDocument/2006/relationships/image" Target="../media/image3.emf"/><Relationship Id="rId10" Type="http://schemas.openxmlformats.org/officeDocument/2006/relationships/image" Target="../media/image21.emf"/><Relationship Id="rId19" Type="http://schemas.openxmlformats.org/officeDocument/2006/relationships/image" Target="../media/image12.emf"/><Relationship Id="rId4" Type="http://schemas.openxmlformats.org/officeDocument/2006/relationships/image" Target="../media/image27.emf"/><Relationship Id="rId9" Type="http://schemas.openxmlformats.org/officeDocument/2006/relationships/image" Target="../media/image22.emf"/><Relationship Id="rId14" Type="http://schemas.openxmlformats.org/officeDocument/2006/relationships/image" Target="../media/image17.emf"/><Relationship Id="rId22" Type="http://schemas.openxmlformats.org/officeDocument/2006/relationships/image" Target="../media/image9.emf"/><Relationship Id="rId27" Type="http://schemas.openxmlformats.org/officeDocument/2006/relationships/image" Target="../media/image4.emf"/><Relationship Id="rId30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5</xdr:col>
          <xdr:colOff>304800</xdr:colOff>
          <xdr:row>0</xdr:row>
          <xdr:rowOff>228600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6</xdr:col>
          <xdr:colOff>304800</xdr:colOff>
          <xdr:row>0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5</xdr:col>
          <xdr:colOff>304800</xdr:colOff>
          <xdr:row>1</xdr:row>
          <xdr:rowOff>228600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6</xdr:col>
          <xdr:colOff>304800</xdr:colOff>
          <xdr:row>1</xdr:row>
          <xdr:rowOff>228600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5</xdr:col>
          <xdr:colOff>304800</xdr:colOff>
          <xdr:row>2</xdr:row>
          <xdr:rowOff>228600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304800</xdr:colOff>
          <xdr:row>2</xdr:row>
          <xdr:rowOff>228600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5</xdr:col>
          <xdr:colOff>304800</xdr:colOff>
          <xdr:row>3</xdr:row>
          <xdr:rowOff>228600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</xdr:row>
          <xdr:rowOff>0</xdr:rowOff>
        </xdr:from>
        <xdr:to>
          <xdr:col>6</xdr:col>
          <xdr:colOff>304800</xdr:colOff>
          <xdr:row>3</xdr:row>
          <xdr:rowOff>228600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5</xdr:col>
          <xdr:colOff>304800</xdr:colOff>
          <xdr:row>4</xdr:row>
          <xdr:rowOff>228600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</xdr:row>
          <xdr:rowOff>0</xdr:rowOff>
        </xdr:from>
        <xdr:to>
          <xdr:col>6</xdr:col>
          <xdr:colOff>304800</xdr:colOff>
          <xdr:row>4</xdr:row>
          <xdr:rowOff>228600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5</xdr:col>
          <xdr:colOff>304800</xdr:colOff>
          <xdr:row>5</xdr:row>
          <xdr:rowOff>228600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0</xdr:rowOff>
        </xdr:from>
        <xdr:to>
          <xdr:col>6</xdr:col>
          <xdr:colOff>304800</xdr:colOff>
          <xdr:row>5</xdr:row>
          <xdr:rowOff>228600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5</xdr:col>
          <xdr:colOff>304800</xdr:colOff>
          <xdr:row>6</xdr:row>
          <xdr:rowOff>228600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6</xdr:col>
          <xdr:colOff>304800</xdr:colOff>
          <xdr:row>6</xdr:row>
          <xdr:rowOff>228600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5</xdr:col>
          <xdr:colOff>304800</xdr:colOff>
          <xdr:row>7</xdr:row>
          <xdr:rowOff>228600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6</xdr:col>
          <xdr:colOff>304800</xdr:colOff>
          <xdr:row>7</xdr:row>
          <xdr:rowOff>228600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5</xdr:col>
          <xdr:colOff>304800</xdr:colOff>
          <xdr:row>8</xdr:row>
          <xdr:rowOff>228600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</xdr:row>
          <xdr:rowOff>0</xdr:rowOff>
        </xdr:from>
        <xdr:to>
          <xdr:col>6</xdr:col>
          <xdr:colOff>304800</xdr:colOff>
          <xdr:row>8</xdr:row>
          <xdr:rowOff>228600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304800</xdr:colOff>
          <xdr:row>9</xdr:row>
          <xdr:rowOff>228600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0</xdr:rowOff>
        </xdr:from>
        <xdr:to>
          <xdr:col>6</xdr:col>
          <xdr:colOff>304800</xdr:colOff>
          <xdr:row>9</xdr:row>
          <xdr:rowOff>228600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304800</xdr:colOff>
          <xdr:row>10</xdr:row>
          <xdr:rowOff>228600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304800</xdr:colOff>
          <xdr:row>10</xdr:row>
          <xdr:rowOff>228600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304800</xdr:colOff>
          <xdr:row>11</xdr:row>
          <xdr:rowOff>228600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</xdr:row>
          <xdr:rowOff>0</xdr:rowOff>
        </xdr:from>
        <xdr:to>
          <xdr:col>6</xdr:col>
          <xdr:colOff>304800</xdr:colOff>
          <xdr:row>11</xdr:row>
          <xdr:rowOff>228600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1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5</xdr:col>
          <xdr:colOff>304800</xdr:colOff>
          <xdr:row>12</xdr:row>
          <xdr:rowOff>228600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12</xdr:row>
          <xdr:rowOff>0</xdr:rowOff>
        </xdr:from>
        <xdr:to>
          <xdr:col>6</xdr:col>
          <xdr:colOff>304800</xdr:colOff>
          <xdr:row>12</xdr:row>
          <xdr:rowOff>228600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0</xdr:rowOff>
        </xdr:from>
        <xdr:to>
          <xdr:col>5</xdr:col>
          <xdr:colOff>304800</xdr:colOff>
          <xdr:row>13</xdr:row>
          <xdr:rowOff>228600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6</xdr:col>
          <xdr:colOff>304800</xdr:colOff>
          <xdr:row>13</xdr:row>
          <xdr:rowOff>228600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1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</xdr:row>
          <xdr:rowOff>0</xdr:rowOff>
        </xdr:from>
        <xdr:to>
          <xdr:col>5</xdr:col>
          <xdr:colOff>304800</xdr:colOff>
          <xdr:row>14</xdr:row>
          <xdr:rowOff>228600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0</xdr:rowOff>
        </xdr:from>
        <xdr:to>
          <xdr:col>6</xdr:col>
          <xdr:colOff>304800</xdr:colOff>
          <xdr:row>14</xdr:row>
          <xdr:rowOff>228600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9" Type="http://schemas.openxmlformats.org/officeDocument/2006/relationships/image" Target="../media/image18.emf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42" Type="http://schemas.openxmlformats.org/officeDocument/2006/relationships/control" Target="../activeX/activeX20.xml"/><Relationship Id="rId47" Type="http://schemas.openxmlformats.org/officeDocument/2006/relationships/image" Target="../media/image22.emf"/><Relationship Id="rId50" Type="http://schemas.openxmlformats.org/officeDocument/2006/relationships/control" Target="../activeX/activeX24.xml"/><Relationship Id="rId55" Type="http://schemas.openxmlformats.org/officeDocument/2006/relationships/image" Target="../media/image26.emf"/><Relationship Id="rId63" Type="http://schemas.openxmlformats.org/officeDocument/2006/relationships/image" Target="../media/image30.emf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41" Type="http://schemas.openxmlformats.org/officeDocument/2006/relationships/image" Target="../media/image19.emf"/><Relationship Id="rId54" Type="http://schemas.openxmlformats.org/officeDocument/2006/relationships/control" Target="../activeX/activeX26.xml"/><Relationship Id="rId62" Type="http://schemas.openxmlformats.org/officeDocument/2006/relationships/control" Target="../activeX/activeX30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40" Type="http://schemas.openxmlformats.org/officeDocument/2006/relationships/control" Target="../activeX/activeX19.xml"/><Relationship Id="rId45" Type="http://schemas.openxmlformats.org/officeDocument/2006/relationships/image" Target="../media/image21.emf"/><Relationship Id="rId53" Type="http://schemas.openxmlformats.org/officeDocument/2006/relationships/image" Target="../media/image25.emf"/><Relationship Id="rId58" Type="http://schemas.openxmlformats.org/officeDocument/2006/relationships/control" Target="../activeX/activeX28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61" Type="http://schemas.openxmlformats.org/officeDocument/2006/relationships/image" Target="../media/image29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4" Type="http://schemas.openxmlformats.org/officeDocument/2006/relationships/control" Target="../activeX/activeX21.xml"/><Relationship Id="rId52" Type="http://schemas.openxmlformats.org/officeDocument/2006/relationships/control" Target="../activeX/activeX25.xml"/><Relationship Id="rId60" Type="http://schemas.openxmlformats.org/officeDocument/2006/relationships/control" Target="../activeX/activeX29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43" Type="http://schemas.openxmlformats.org/officeDocument/2006/relationships/image" Target="../media/image20.emf"/><Relationship Id="rId48" Type="http://schemas.openxmlformats.org/officeDocument/2006/relationships/control" Target="../activeX/activeX23.xml"/><Relationship Id="rId56" Type="http://schemas.openxmlformats.org/officeDocument/2006/relationships/control" Target="../activeX/activeX27.xml"/><Relationship Id="rId8" Type="http://schemas.openxmlformats.org/officeDocument/2006/relationships/control" Target="../activeX/activeX3.xml"/><Relationship Id="rId51" Type="http://schemas.openxmlformats.org/officeDocument/2006/relationships/image" Target="../media/image24.emf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46" Type="http://schemas.openxmlformats.org/officeDocument/2006/relationships/control" Target="../activeX/activeX22.xml"/><Relationship Id="rId59" Type="http://schemas.openxmlformats.org/officeDocument/2006/relationships/image" Target="../media/image28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6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H15" sqref="H15"/>
    </sheetView>
  </sheetViews>
  <sheetFormatPr defaultRowHeight="15" x14ac:dyDescent="0.25"/>
  <cols>
    <col min="1" max="1" width="22.140625" style="4" bestFit="1" customWidth="1"/>
    <col min="2" max="2" width="11.85546875" style="26" customWidth="1"/>
    <col min="3" max="3" width="13.5703125" style="4" bestFit="1" customWidth="1"/>
    <col min="4" max="4" width="22" bestFit="1" customWidth="1"/>
    <col min="5" max="5" width="25.140625" customWidth="1"/>
    <col min="6" max="6" width="43.42578125" bestFit="1" customWidth="1"/>
  </cols>
  <sheetData>
    <row r="1" spans="1:6" s="2" customFormat="1" ht="15.75" thickBot="1" x14ac:dyDescent="0.3">
      <c r="A1" s="5" t="s">
        <v>5</v>
      </c>
      <c r="B1" s="24" t="s">
        <v>0</v>
      </c>
      <c r="C1" s="3" t="s">
        <v>1</v>
      </c>
      <c r="D1" s="1" t="s">
        <v>3</v>
      </c>
      <c r="E1" s="1" t="s">
        <v>2</v>
      </c>
      <c r="F1" s="1" t="s">
        <v>4</v>
      </c>
    </row>
    <row r="2" spans="1:6" ht="15.75" thickBot="1" x14ac:dyDescent="0.3">
      <c r="A2" s="4" t="s">
        <v>16</v>
      </c>
      <c r="B2" s="25" t="s">
        <v>133</v>
      </c>
      <c r="C2" s="7" t="s">
        <v>132</v>
      </c>
      <c r="D2" t="s">
        <v>55</v>
      </c>
      <c r="E2">
        <v>1000000</v>
      </c>
      <c r="F2" s="4" t="s">
        <v>57</v>
      </c>
    </row>
    <row r="3" spans="1:6" ht="15.75" thickBot="1" x14ac:dyDescent="0.3">
      <c r="A3" s="4" t="s">
        <v>56</v>
      </c>
      <c r="B3" s="25" t="s">
        <v>133</v>
      </c>
      <c r="C3" s="7" t="s">
        <v>132</v>
      </c>
      <c r="D3" t="s">
        <v>55</v>
      </c>
      <c r="E3" s="20">
        <v>250000</v>
      </c>
      <c r="F3" s="4" t="s">
        <v>58</v>
      </c>
    </row>
    <row r="4" spans="1:6" ht="17.25" thickBot="1" x14ac:dyDescent="0.3">
      <c r="A4" s="11" t="s">
        <v>8</v>
      </c>
      <c r="B4" s="25" t="s">
        <v>133</v>
      </c>
      <c r="C4" s="7" t="s">
        <v>132</v>
      </c>
      <c r="D4" s="12" t="s">
        <v>6</v>
      </c>
      <c r="E4" s="21">
        <v>1500000</v>
      </c>
      <c r="F4" s="6" t="s">
        <v>10</v>
      </c>
    </row>
    <row r="5" spans="1:6" ht="15.75" thickBot="1" x14ac:dyDescent="0.3">
      <c r="A5" s="4" t="s">
        <v>121</v>
      </c>
      <c r="B5" s="25" t="s">
        <v>133</v>
      </c>
      <c r="C5" s="7" t="s">
        <v>132</v>
      </c>
      <c r="D5" s="10" t="s">
        <v>6</v>
      </c>
      <c r="E5" s="22">
        <v>2000000</v>
      </c>
      <c r="F5" t="s">
        <v>101</v>
      </c>
    </row>
    <row r="6" spans="1:6" ht="15.75" thickBot="1" x14ac:dyDescent="0.3">
      <c r="A6" s="4" t="s">
        <v>40</v>
      </c>
      <c r="B6" s="25" t="s">
        <v>133</v>
      </c>
      <c r="C6" s="7" t="s">
        <v>132</v>
      </c>
      <c r="D6" s="8" t="s">
        <v>6</v>
      </c>
      <c r="E6" s="20">
        <v>2500000</v>
      </c>
      <c r="F6" t="s">
        <v>59</v>
      </c>
    </row>
    <row r="7" spans="1:6" ht="15.75" thickBot="1" x14ac:dyDescent="0.3">
      <c r="A7" s="4" t="s">
        <v>50</v>
      </c>
      <c r="B7" s="25" t="s">
        <v>133</v>
      </c>
      <c r="C7" s="7" t="s">
        <v>132</v>
      </c>
      <c r="D7" s="8" t="s">
        <v>6</v>
      </c>
      <c r="E7" s="23">
        <v>500000</v>
      </c>
      <c r="F7" t="s">
        <v>51</v>
      </c>
    </row>
    <row r="8" spans="1:6" ht="15.75" thickBot="1" x14ac:dyDescent="0.3">
      <c r="A8" s="4" t="s">
        <v>120</v>
      </c>
      <c r="B8" s="25" t="s">
        <v>133</v>
      </c>
      <c r="C8" s="7" t="s">
        <v>132</v>
      </c>
      <c r="D8" s="8" t="s">
        <v>6</v>
      </c>
      <c r="E8" s="22">
        <v>5110000</v>
      </c>
      <c r="F8" t="s">
        <v>124</v>
      </c>
    </row>
    <row r="9" spans="1:6" ht="15.75" thickBot="1" x14ac:dyDescent="0.3">
      <c r="A9" s="4" t="s">
        <v>60</v>
      </c>
      <c r="B9" s="25" t="s">
        <v>133</v>
      </c>
      <c r="C9" s="7" t="s">
        <v>132</v>
      </c>
      <c r="D9" s="8" t="s">
        <v>6</v>
      </c>
      <c r="E9" s="20">
        <v>2000000</v>
      </c>
      <c r="F9" t="s">
        <v>62</v>
      </c>
    </row>
    <row r="10" spans="1:6" ht="15.75" thickBot="1" x14ac:dyDescent="0.3">
      <c r="A10" s="4" t="s">
        <v>61</v>
      </c>
      <c r="B10" s="25" t="s">
        <v>133</v>
      </c>
      <c r="C10" s="7" t="s">
        <v>132</v>
      </c>
      <c r="D10" t="s">
        <v>6</v>
      </c>
      <c r="E10" s="20">
        <v>2000000</v>
      </c>
      <c r="F10" t="s">
        <v>62</v>
      </c>
    </row>
    <row r="11" spans="1:6" ht="15.75" thickBot="1" x14ac:dyDescent="0.3">
      <c r="A11" s="4" t="s">
        <v>106</v>
      </c>
      <c r="B11" s="25" t="s">
        <v>133</v>
      </c>
      <c r="C11" s="7" t="s">
        <v>132</v>
      </c>
      <c r="D11" t="s">
        <v>6</v>
      </c>
      <c r="E11" s="22">
        <v>800000</v>
      </c>
      <c r="F11" s="4" t="s">
        <v>128</v>
      </c>
    </row>
    <row r="12" spans="1:6" ht="15.75" thickBot="1" x14ac:dyDescent="0.3">
      <c r="A12" s="4" t="s">
        <v>107</v>
      </c>
      <c r="B12" s="25" t="s">
        <v>133</v>
      </c>
      <c r="C12" s="7" t="s">
        <v>132</v>
      </c>
      <c r="D12" t="s">
        <v>6</v>
      </c>
      <c r="E12" s="22">
        <v>400000</v>
      </c>
      <c r="F12" s="4" t="s">
        <v>128</v>
      </c>
    </row>
    <row r="13" spans="1:6" ht="15.75" thickBot="1" x14ac:dyDescent="0.3">
      <c r="A13" s="4" t="s">
        <v>108</v>
      </c>
      <c r="B13" s="25" t="s">
        <v>133</v>
      </c>
      <c r="C13" s="7" t="s">
        <v>132</v>
      </c>
      <c r="D13" t="s">
        <v>6</v>
      </c>
      <c r="E13" s="22">
        <v>600000</v>
      </c>
      <c r="F13" s="4" t="s">
        <v>102</v>
      </c>
    </row>
    <row r="14" spans="1:6" ht="15.75" thickBot="1" x14ac:dyDescent="0.3">
      <c r="A14" s="4" t="s">
        <v>109</v>
      </c>
      <c r="B14" s="25" t="s">
        <v>133</v>
      </c>
      <c r="C14" s="7" t="s">
        <v>132</v>
      </c>
      <c r="D14" t="s">
        <v>6</v>
      </c>
      <c r="E14" s="22">
        <v>600000</v>
      </c>
      <c r="F14" s="4" t="s">
        <v>129</v>
      </c>
    </row>
    <row r="15" spans="1:6" ht="15.75" thickBot="1" x14ac:dyDescent="0.3">
      <c r="A15" s="4" t="s">
        <v>110</v>
      </c>
      <c r="B15" s="25" t="s">
        <v>133</v>
      </c>
      <c r="C15" s="7" t="s">
        <v>132</v>
      </c>
      <c r="D15" t="s">
        <v>6</v>
      </c>
      <c r="E15" s="22">
        <v>1400000</v>
      </c>
      <c r="F15" s="4" t="s">
        <v>102</v>
      </c>
    </row>
    <row r="16" spans="1:6" ht="15.75" thickBot="1" x14ac:dyDescent="0.3">
      <c r="A16" s="4" t="s">
        <v>111</v>
      </c>
      <c r="B16" s="25" t="s">
        <v>133</v>
      </c>
      <c r="C16" s="7" t="s">
        <v>132</v>
      </c>
      <c r="D16" t="s">
        <v>6</v>
      </c>
      <c r="E16" s="22">
        <v>710000</v>
      </c>
      <c r="F16" s="4" t="s">
        <v>102</v>
      </c>
    </row>
    <row r="17" spans="1:6" ht="15.75" thickBot="1" x14ac:dyDescent="0.3">
      <c r="A17" s="4" t="s">
        <v>112</v>
      </c>
      <c r="B17" s="25" t="s">
        <v>133</v>
      </c>
      <c r="C17" s="7" t="s">
        <v>132</v>
      </c>
      <c r="D17" t="s">
        <v>6</v>
      </c>
      <c r="E17" s="22">
        <v>1400000</v>
      </c>
      <c r="F17" s="4" t="s">
        <v>102</v>
      </c>
    </row>
    <row r="18" spans="1:6" ht="15.75" thickBot="1" x14ac:dyDescent="0.3">
      <c r="A18" s="4" t="s">
        <v>113</v>
      </c>
      <c r="B18" s="25" t="s">
        <v>133</v>
      </c>
      <c r="C18" s="7" t="s">
        <v>132</v>
      </c>
      <c r="D18" t="s">
        <v>6</v>
      </c>
      <c r="E18" s="22">
        <v>1300000</v>
      </c>
      <c r="F18" s="4" t="s">
        <v>130</v>
      </c>
    </row>
    <row r="19" spans="1:6" ht="15.75" thickBot="1" x14ac:dyDescent="0.3">
      <c r="A19" s="4" t="s">
        <v>114</v>
      </c>
      <c r="B19" s="25" t="s">
        <v>133</v>
      </c>
      <c r="C19" s="7" t="s">
        <v>132</v>
      </c>
      <c r="D19" t="s">
        <v>6</v>
      </c>
      <c r="E19" s="22">
        <v>1300000</v>
      </c>
      <c r="F19" s="4" t="s">
        <v>102</v>
      </c>
    </row>
    <row r="20" spans="1:6" ht="15.75" thickBot="1" x14ac:dyDescent="0.3">
      <c r="A20" s="4" t="s">
        <v>115</v>
      </c>
      <c r="B20" s="25" t="s">
        <v>133</v>
      </c>
      <c r="C20" s="7" t="s">
        <v>132</v>
      </c>
      <c r="D20" t="s">
        <v>6</v>
      </c>
      <c r="E20" s="22">
        <v>1800000</v>
      </c>
      <c r="F20" s="4" t="s">
        <v>102</v>
      </c>
    </row>
    <row r="21" spans="1:6" ht="15.75" thickBot="1" x14ac:dyDescent="0.3">
      <c r="A21" s="4" t="s">
        <v>116</v>
      </c>
      <c r="B21" s="25" t="s">
        <v>133</v>
      </c>
      <c r="C21" s="7" t="s">
        <v>132</v>
      </c>
      <c r="D21" t="s">
        <v>6</v>
      </c>
      <c r="E21" s="22">
        <v>1500000</v>
      </c>
      <c r="F21" s="4" t="s">
        <v>102</v>
      </c>
    </row>
    <row r="22" spans="1:6" ht="15.75" thickBot="1" x14ac:dyDescent="0.3">
      <c r="A22" s="4" t="s">
        <v>117</v>
      </c>
      <c r="B22" s="25" t="s">
        <v>133</v>
      </c>
      <c r="C22" s="7" t="s">
        <v>132</v>
      </c>
      <c r="D22" t="s">
        <v>6</v>
      </c>
      <c r="E22" s="22">
        <v>600000</v>
      </c>
      <c r="F22" s="4" t="s">
        <v>102</v>
      </c>
    </row>
    <row r="23" spans="1:6" ht="15.75" thickBot="1" x14ac:dyDescent="0.3">
      <c r="A23" s="4" t="s">
        <v>105</v>
      </c>
      <c r="B23" s="25" t="s">
        <v>133</v>
      </c>
      <c r="C23" s="7" t="s">
        <v>132</v>
      </c>
      <c r="D23" t="s">
        <v>6</v>
      </c>
      <c r="E23" s="22">
        <v>1100000</v>
      </c>
      <c r="F23" s="4" t="s">
        <v>103</v>
      </c>
    </row>
    <row r="24" spans="1:6" ht="15.75" thickBot="1" x14ac:dyDescent="0.3">
      <c r="A24" s="4" t="s">
        <v>118</v>
      </c>
      <c r="B24" s="25" t="s">
        <v>133</v>
      </c>
      <c r="C24" s="7" t="s">
        <v>132</v>
      </c>
      <c r="D24" t="s">
        <v>6</v>
      </c>
      <c r="E24" s="22">
        <v>800000</v>
      </c>
      <c r="F24" s="4" t="s">
        <v>102</v>
      </c>
    </row>
    <row r="25" spans="1:6" ht="15.75" thickBot="1" x14ac:dyDescent="0.3">
      <c r="A25" s="4" t="s">
        <v>119</v>
      </c>
      <c r="B25" s="25" t="s">
        <v>133</v>
      </c>
      <c r="C25" s="7" t="s">
        <v>132</v>
      </c>
      <c r="D25" t="s">
        <v>6</v>
      </c>
      <c r="E25" s="22">
        <v>1100000</v>
      </c>
      <c r="F25" s="4" t="s">
        <v>125</v>
      </c>
    </row>
    <row r="26" spans="1:6" ht="15.75" thickBot="1" x14ac:dyDescent="0.3">
      <c r="A26" s="4" t="s">
        <v>96</v>
      </c>
      <c r="B26" s="25" t="s">
        <v>133</v>
      </c>
      <c r="C26" s="7" t="s">
        <v>132</v>
      </c>
      <c r="D26" t="s">
        <v>6</v>
      </c>
      <c r="E26" s="22">
        <v>2603063</v>
      </c>
      <c r="F26" s="4" t="s">
        <v>104</v>
      </c>
    </row>
    <row r="27" spans="1:6" ht="15.75" thickBot="1" x14ac:dyDescent="0.3">
      <c r="A27" s="4" t="s">
        <v>97</v>
      </c>
      <c r="B27" s="25" t="s">
        <v>133</v>
      </c>
      <c r="C27" s="7" t="s">
        <v>132</v>
      </c>
      <c r="D27" t="s">
        <v>6</v>
      </c>
      <c r="E27" s="22">
        <v>800000</v>
      </c>
      <c r="F27" s="4" t="s">
        <v>102</v>
      </c>
    </row>
    <row r="28" spans="1:6" ht="15.75" thickBot="1" x14ac:dyDescent="0.3">
      <c r="A28" s="4" t="s">
        <v>98</v>
      </c>
      <c r="B28" s="25" t="s">
        <v>133</v>
      </c>
      <c r="C28" s="7" t="s">
        <v>132</v>
      </c>
      <c r="D28" t="s">
        <v>6</v>
      </c>
      <c r="E28" s="22">
        <v>910000</v>
      </c>
      <c r="F28" s="4" t="s">
        <v>131</v>
      </c>
    </row>
    <row r="29" spans="1:6" ht="15.75" thickBot="1" x14ac:dyDescent="0.3">
      <c r="A29" s="4" t="s">
        <v>99</v>
      </c>
      <c r="B29" s="25" t="s">
        <v>133</v>
      </c>
      <c r="C29" s="7" t="s">
        <v>132</v>
      </c>
      <c r="D29" t="s">
        <v>6</v>
      </c>
      <c r="E29" s="22">
        <v>400000</v>
      </c>
      <c r="F29" s="4" t="s">
        <v>104</v>
      </c>
    </row>
    <row r="30" spans="1:6" ht="15.75" thickBot="1" x14ac:dyDescent="0.3">
      <c r="A30" s="4" t="s">
        <v>122</v>
      </c>
      <c r="B30" s="25" t="s">
        <v>133</v>
      </c>
      <c r="C30" s="7" t="s">
        <v>132</v>
      </c>
      <c r="D30" t="s">
        <v>6</v>
      </c>
      <c r="E30" s="22">
        <v>200000</v>
      </c>
      <c r="F30" s="4" t="s">
        <v>100</v>
      </c>
    </row>
    <row r="31" spans="1:6" ht="15.75" thickBot="1" x14ac:dyDescent="0.3">
      <c r="A31" s="4" t="s">
        <v>123</v>
      </c>
      <c r="B31" s="25" t="s">
        <v>133</v>
      </c>
      <c r="C31" s="7" t="s">
        <v>132</v>
      </c>
      <c r="D31" t="s">
        <v>6</v>
      </c>
      <c r="E31" s="22">
        <v>200000</v>
      </c>
      <c r="F31" s="4" t="s">
        <v>100</v>
      </c>
    </row>
    <row r="32" spans="1:6" x14ac:dyDescent="0.25">
      <c r="A32" s="4" t="s">
        <v>126</v>
      </c>
      <c r="B32" s="25" t="s">
        <v>133</v>
      </c>
      <c r="C32" s="7" t="s">
        <v>132</v>
      </c>
      <c r="D32" t="s">
        <v>6</v>
      </c>
      <c r="E32" s="22">
        <v>200000</v>
      </c>
      <c r="F32" s="4" t="s">
        <v>127</v>
      </c>
    </row>
    <row r="33" spans="2:3" x14ac:dyDescent="0.25">
      <c r="B33" s="4"/>
      <c r="C33"/>
    </row>
    <row r="34" spans="2:3" x14ac:dyDescent="0.25">
      <c r="B34" s="4"/>
      <c r="C34"/>
    </row>
    <row r="35" spans="2:3" x14ac:dyDescent="0.25">
      <c r="B35" s="4"/>
      <c r="C35"/>
    </row>
    <row r="36" spans="2:3" x14ac:dyDescent="0.25">
      <c r="B36" s="4"/>
      <c r="C36"/>
    </row>
    <row r="37" spans="2:3" x14ac:dyDescent="0.25">
      <c r="B37" s="4"/>
      <c r="C37"/>
    </row>
    <row r="38" spans="2:3" x14ac:dyDescent="0.25">
      <c r="B38" s="4"/>
      <c r="C38"/>
    </row>
    <row r="39" spans="2:3" x14ac:dyDescent="0.25">
      <c r="B39" s="4"/>
      <c r="C39"/>
    </row>
    <row r="40" spans="2:3" x14ac:dyDescent="0.25">
      <c r="B40" s="4"/>
      <c r="C40"/>
    </row>
    <row r="41" spans="2:3" x14ac:dyDescent="0.25">
      <c r="B41" s="4"/>
      <c r="C41"/>
    </row>
    <row r="42" spans="2:3" x14ac:dyDescent="0.25">
      <c r="B42" s="4"/>
      <c r="C42"/>
    </row>
    <row r="43" spans="2:3" x14ac:dyDescent="0.25">
      <c r="B43" s="4"/>
      <c r="C43"/>
    </row>
    <row r="44" spans="2:3" x14ac:dyDescent="0.25">
      <c r="B44" s="4"/>
      <c r="C44"/>
    </row>
    <row r="45" spans="2:3" x14ac:dyDescent="0.25">
      <c r="B45" s="4"/>
      <c r="C45"/>
    </row>
    <row r="46" spans="2:3" x14ac:dyDescent="0.25">
      <c r="B46" s="4"/>
      <c r="C46"/>
    </row>
    <row r="47" spans="2:3" x14ac:dyDescent="0.25">
      <c r="B47" s="4"/>
      <c r="C47"/>
    </row>
    <row r="48" spans="2:3" x14ac:dyDescent="0.25">
      <c r="B48" s="4"/>
      <c r="C48"/>
    </row>
    <row r="49" spans="2:3" x14ac:dyDescent="0.25">
      <c r="B49" s="4"/>
      <c r="C49"/>
    </row>
    <row r="50" spans="2:3" x14ac:dyDescent="0.25">
      <c r="B50" s="4"/>
      <c r="C50"/>
    </row>
    <row r="51" spans="2:3" x14ac:dyDescent="0.25">
      <c r="B51" s="4"/>
      <c r="C51"/>
    </row>
    <row r="52" spans="2:3" x14ac:dyDescent="0.25">
      <c r="B52" s="4"/>
      <c r="C52"/>
    </row>
    <row r="53" spans="2:3" x14ac:dyDescent="0.25">
      <c r="B53" s="4"/>
      <c r="C53"/>
    </row>
    <row r="54" spans="2:3" x14ac:dyDescent="0.25">
      <c r="B54" s="4"/>
      <c r="C54"/>
    </row>
    <row r="55" spans="2:3" x14ac:dyDescent="0.25">
      <c r="B55" s="4"/>
      <c r="C55"/>
    </row>
    <row r="56" spans="2:3" x14ac:dyDescent="0.25">
      <c r="B56" s="4"/>
      <c r="C56"/>
    </row>
    <row r="57" spans="2:3" x14ac:dyDescent="0.25">
      <c r="B57" s="4"/>
      <c r="C57"/>
    </row>
    <row r="58" spans="2:3" x14ac:dyDescent="0.25">
      <c r="B58" s="4"/>
      <c r="C58"/>
    </row>
    <row r="59" spans="2:3" x14ac:dyDescent="0.25">
      <c r="B59" s="4"/>
      <c r="C59"/>
    </row>
    <row r="60" spans="2:3" x14ac:dyDescent="0.25">
      <c r="B60" s="4"/>
      <c r="C60"/>
    </row>
    <row r="61" spans="2:3" x14ac:dyDescent="0.25">
      <c r="B61" s="4"/>
      <c r="C61"/>
    </row>
    <row r="62" spans="2:3" x14ac:dyDescent="0.25">
      <c r="B62" s="4"/>
      <c r="C62"/>
    </row>
    <row r="63" spans="2:3" x14ac:dyDescent="0.25">
      <c r="B63" s="4"/>
      <c r="C63"/>
    </row>
    <row r="64" spans="2:3" x14ac:dyDescent="0.25">
      <c r="B64" s="4"/>
      <c r="C64"/>
    </row>
    <row r="65" spans="2:3" x14ac:dyDescent="0.25">
      <c r="B65" s="4"/>
      <c r="C65"/>
    </row>
    <row r="66" spans="2:3" x14ac:dyDescent="0.25">
      <c r="B66" s="4"/>
      <c r="C66"/>
    </row>
    <row r="67" spans="2:3" x14ac:dyDescent="0.25">
      <c r="B67" s="4"/>
      <c r="C67"/>
    </row>
    <row r="68" spans="2:3" x14ac:dyDescent="0.25">
      <c r="B68" s="4"/>
      <c r="C68"/>
    </row>
    <row r="69" spans="2:3" x14ac:dyDescent="0.25">
      <c r="B69" s="4"/>
      <c r="C69"/>
    </row>
    <row r="70" spans="2:3" x14ac:dyDescent="0.25">
      <c r="B70" s="4"/>
      <c r="C70"/>
    </row>
    <row r="71" spans="2:3" x14ac:dyDescent="0.25">
      <c r="B71" s="4"/>
      <c r="C71"/>
    </row>
    <row r="72" spans="2:3" x14ac:dyDescent="0.25">
      <c r="B72" s="4"/>
      <c r="C72"/>
    </row>
    <row r="73" spans="2:3" x14ac:dyDescent="0.25">
      <c r="B73" s="4"/>
      <c r="C73"/>
    </row>
    <row r="74" spans="2:3" x14ac:dyDescent="0.25">
      <c r="B74" s="4"/>
      <c r="C74"/>
    </row>
    <row r="75" spans="2:3" x14ac:dyDescent="0.25">
      <c r="B75" s="4"/>
      <c r="C75"/>
    </row>
    <row r="76" spans="2:3" x14ac:dyDescent="0.25">
      <c r="B76" s="4"/>
      <c r="C76"/>
    </row>
    <row r="77" spans="2:3" x14ac:dyDescent="0.25">
      <c r="B77" s="4"/>
      <c r="C77"/>
    </row>
    <row r="78" spans="2:3" x14ac:dyDescent="0.25">
      <c r="B78" s="4"/>
      <c r="C78"/>
    </row>
    <row r="79" spans="2:3" x14ac:dyDescent="0.25">
      <c r="B79" s="4"/>
      <c r="C79"/>
    </row>
    <row r="80" spans="2:3" x14ac:dyDescent="0.25">
      <c r="B80" s="4"/>
      <c r="C80"/>
    </row>
    <row r="81" spans="2:3" x14ac:dyDescent="0.25">
      <c r="B81" s="4"/>
      <c r="C81"/>
    </row>
    <row r="82" spans="2:3" x14ac:dyDescent="0.25">
      <c r="B82" s="4"/>
      <c r="C82"/>
    </row>
    <row r="83" spans="2:3" x14ac:dyDescent="0.25">
      <c r="B83" s="4"/>
      <c r="C83"/>
    </row>
    <row r="84" spans="2:3" x14ac:dyDescent="0.25">
      <c r="B84" s="4"/>
      <c r="C84"/>
    </row>
    <row r="85" spans="2:3" x14ac:dyDescent="0.25">
      <c r="B85" s="4"/>
      <c r="C85"/>
    </row>
    <row r="86" spans="2:3" x14ac:dyDescent="0.25">
      <c r="B86" s="4"/>
      <c r="C86"/>
    </row>
    <row r="87" spans="2:3" x14ac:dyDescent="0.25">
      <c r="B87" s="4"/>
      <c r="C87"/>
    </row>
    <row r="88" spans="2:3" x14ac:dyDescent="0.25">
      <c r="B88" s="4"/>
      <c r="C88"/>
    </row>
    <row r="89" spans="2:3" x14ac:dyDescent="0.25">
      <c r="B89" s="4"/>
      <c r="C89"/>
    </row>
    <row r="90" spans="2:3" x14ac:dyDescent="0.25">
      <c r="B90" s="4"/>
      <c r="C90"/>
    </row>
    <row r="91" spans="2:3" x14ac:dyDescent="0.25">
      <c r="B91" s="4"/>
      <c r="C91"/>
    </row>
    <row r="92" spans="2:3" x14ac:dyDescent="0.25">
      <c r="B92" s="4"/>
      <c r="C92"/>
    </row>
    <row r="93" spans="2:3" x14ac:dyDescent="0.25">
      <c r="B93" s="4"/>
      <c r="C93"/>
    </row>
    <row r="94" spans="2:3" x14ac:dyDescent="0.25">
      <c r="B94" s="4"/>
      <c r="C94"/>
    </row>
    <row r="95" spans="2:3" x14ac:dyDescent="0.25">
      <c r="B95" s="4"/>
      <c r="C95"/>
    </row>
    <row r="96" spans="2:3" x14ac:dyDescent="0.25">
      <c r="B96" s="4"/>
      <c r="C96"/>
    </row>
    <row r="97" spans="2:3" x14ac:dyDescent="0.25">
      <c r="B97" s="4"/>
      <c r="C97"/>
    </row>
    <row r="98" spans="2:3" x14ac:dyDescent="0.25">
      <c r="B98" s="4"/>
      <c r="C98"/>
    </row>
    <row r="99" spans="2:3" x14ac:dyDescent="0.25">
      <c r="B99" s="4"/>
      <c r="C99"/>
    </row>
    <row r="100" spans="2:3" x14ac:dyDescent="0.25">
      <c r="B100" s="4"/>
      <c r="C100"/>
    </row>
    <row r="101" spans="2:3" x14ac:dyDescent="0.25">
      <c r="B101" s="4"/>
      <c r="C101"/>
    </row>
    <row r="102" spans="2:3" x14ac:dyDescent="0.25">
      <c r="B102" s="4"/>
      <c r="C102"/>
    </row>
    <row r="103" spans="2:3" x14ac:dyDescent="0.25">
      <c r="B103" s="4"/>
      <c r="C103"/>
    </row>
    <row r="104" spans="2:3" x14ac:dyDescent="0.25">
      <c r="B104" s="4"/>
      <c r="C104"/>
    </row>
    <row r="105" spans="2:3" x14ac:dyDescent="0.25">
      <c r="B105" s="4"/>
      <c r="C105"/>
    </row>
    <row r="106" spans="2:3" x14ac:dyDescent="0.25">
      <c r="B106" s="4"/>
      <c r="C106"/>
    </row>
    <row r="107" spans="2:3" x14ac:dyDescent="0.25">
      <c r="B107" s="4"/>
      <c r="C107"/>
    </row>
    <row r="108" spans="2:3" x14ac:dyDescent="0.25">
      <c r="B108" s="4"/>
      <c r="C108"/>
    </row>
    <row r="109" spans="2:3" x14ac:dyDescent="0.25">
      <c r="B109" s="4"/>
      <c r="C109"/>
    </row>
    <row r="110" spans="2:3" x14ac:dyDescent="0.25">
      <c r="B110" s="4"/>
      <c r="C110"/>
    </row>
    <row r="111" spans="2:3" x14ac:dyDescent="0.25">
      <c r="B111" s="4"/>
      <c r="C111"/>
    </row>
    <row r="112" spans="2:3" x14ac:dyDescent="0.25">
      <c r="B112" s="4"/>
      <c r="C112"/>
    </row>
    <row r="113" spans="2:3" x14ac:dyDescent="0.25">
      <c r="B113" s="4"/>
      <c r="C113"/>
    </row>
    <row r="114" spans="2:3" x14ac:dyDescent="0.25">
      <c r="B114" s="4"/>
      <c r="C114"/>
    </row>
    <row r="115" spans="2:3" x14ac:dyDescent="0.25">
      <c r="B115" s="4"/>
      <c r="C115"/>
    </row>
    <row r="116" spans="2:3" x14ac:dyDescent="0.25">
      <c r="B116" s="4"/>
      <c r="C116"/>
    </row>
    <row r="117" spans="2:3" x14ac:dyDescent="0.25">
      <c r="B117" s="4"/>
      <c r="C117"/>
    </row>
    <row r="118" spans="2:3" x14ac:dyDescent="0.25">
      <c r="B118" s="4"/>
      <c r="C118"/>
    </row>
    <row r="119" spans="2:3" x14ac:dyDescent="0.25">
      <c r="B119" s="4"/>
      <c r="C119"/>
    </row>
    <row r="120" spans="2:3" x14ac:dyDescent="0.25">
      <c r="B120" s="4"/>
      <c r="C120"/>
    </row>
    <row r="121" spans="2:3" x14ac:dyDescent="0.25">
      <c r="B121" s="4"/>
      <c r="C121"/>
    </row>
    <row r="122" spans="2:3" x14ac:dyDescent="0.25">
      <c r="B122" s="4"/>
      <c r="C122"/>
    </row>
    <row r="123" spans="2:3" x14ac:dyDescent="0.25">
      <c r="B123" s="4"/>
      <c r="C123"/>
    </row>
    <row r="124" spans="2:3" x14ac:dyDescent="0.25">
      <c r="B124" s="4"/>
      <c r="C124"/>
    </row>
    <row r="125" spans="2:3" x14ac:dyDescent="0.25">
      <c r="B125" s="4"/>
      <c r="C125"/>
    </row>
    <row r="126" spans="2:3" x14ac:dyDescent="0.25">
      <c r="B126" s="4"/>
      <c r="C126"/>
    </row>
    <row r="127" spans="2:3" x14ac:dyDescent="0.25">
      <c r="B127" s="4"/>
      <c r="C127"/>
    </row>
    <row r="128" spans="2:3" x14ac:dyDescent="0.25">
      <c r="B128" s="4"/>
      <c r="C128"/>
    </row>
    <row r="129" spans="2:3" x14ac:dyDescent="0.25">
      <c r="B129" s="4"/>
      <c r="C129"/>
    </row>
    <row r="130" spans="2:3" x14ac:dyDescent="0.25">
      <c r="B130" s="4"/>
      <c r="C130"/>
    </row>
    <row r="131" spans="2:3" x14ac:dyDescent="0.25">
      <c r="B131" s="4"/>
      <c r="C131"/>
    </row>
    <row r="132" spans="2:3" x14ac:dyDescent="0.25">
      <c r="B132" s="4"/>
      <c r="C132"/>
    </row>
    <row r="133" spans="2:3" x14ac:dyDescent="0.25">
      <c r="B133" s="4"/>
      <c r="C133"/>
    </row>
    <row r="134" spans="2:3" x14ac:dyDescent="0.25">
      <c r="B134" s="4"/>
      <c r="C134"/>
    </row>
    <row r="135" spans="2:3" x14ac:dyDescent="0.25">
      <c r="B135" s="4"/>
      <c r="C135"/>
    </row>
    <row r="136" spans="2:3" x14ac:dyDescent="0.25">
      <c r="B136" s="4"/>
      <c r="C136"/>
    </row>
    <row r="137" spans="2:3" x14ac:dyDescent="0.25">
      <c r="B137" s="4"/>
      <c r="C137"/>
    </row>
    <row r="138" spans="2:3" x14ac:dyDescent="0.25">
      <c r="B138" s="4"/>
      <c r="C138"/>
    </row>
    <row r="139" spans="2:3" x14ac:dyDescent="0.25">
      <c r="B139" s="4"/>
      <c r="C139"/>
    </row>
    <row r="140" spans="2:3" x14ac:dyDescent="0.25">
      <c r="B140" s="4"/>
      <c r="C140"/>
    </row>
    <row r="141" spans="2:3" x14ac:dyDescent="0.25">
      <c r="B141" s="4"/>
      <c r="C141"/>
    </row>
    <row r="142" spans="2:3" x14ac:dyDescent="0.25">
      <c r="B142" s="4"/>
      <c r="C142"/>
    </row>
    <row r="143" spans="2:3" x14ac:dyDescent="0.25">
      <c r="B143" s="4"/>
      <c r="C143"/>
    </row>
    <row r="144" spans="2:3" x14ac:dyDescent="0.25">
      <c r="B144" s="4"/>
      <c r="C144"/>
    </row>
    <row r="145" spans="2:3" x14ac:dyDescent="0.25">
      <c r="B145" s="4"/>
      <c r="C145"/>
    </row>
    <row r="146" spans="2:3" x14ac:dyDescent="0.25">
      <c r="B146" s="4"/>
      <c r="C146"/>
    </row>
    <row r="147" spans="2:3" x14ac:dyDescent="0.25">
      <c r="B147" s="4"/>
      <c r="C147"/>
    </row>
    <row r="148" spans="2:3" x14ac:dyDescent="0.25">
      <c r="B148" s="4"/>
      <c r="C148"/>
    </row>
    <row r="149" spans="2:3" x14ac:dyDescent="0.25">
      <c r="B149" s="4"/>
      <c r="C149"/>
    </row>
    <row r="150" spans="2:3" x14ac:dyDescent="0.25">
      <c r="B150" s="4"/>
      <c r="C150"/>
    </row>
    <row r="151" spans="2:3" x14ac:dyDescent="0.25">
      <c r="B151" s="4"/>
      <c r="C151"/>
    </row>
    <row r="152" spans="2:3" x14ac:dyDescent="0.25">
      <c r="B152" s="4"/>
      <c r="C152"/>
    </row>
    <row r="153" spans="2:3" x14ac:dyDescent="0.25">
      <c r="B153" s="4"/>
      <c r="C153"/>
    </row>
    <row r="154" spans="2:3" x14ac:dyDescent="0.25">
      <c r="B154" s="4"/>
      <c r="C154"/>
    </row>
    <row r="155" spans="2:3" x14ac:dyDescent="0.25">
      <c r="B155" s="4"/>
      <c r="C155"/>
    </row>
    <row r="156" spans="2:3" x14ac:dyDescent="0.25">
      <c r="B156" s="4"/>
      <c r="C156"/>
    </row>
    <row r="157" spans="2:3" x14ac:dyDescent="0.25">
      <c r="B157" s="4"/>
      <c r="C157"/>
    </row>
    <row r="158" spans="2:3" x14ac:dyDescent="0.25">
      <c r="B158" s="4"/>
      <c r="C158"/>
    </row>
    <row r="159" spans="2:3" x14ac:dyDescent="0.25">
      <c r="B159" s="4"/>
      <c r="C159"/>
    </row>
    <row r="160" spans="2:3" x14ac:dyDescent="0.25">
      <c r="B160" s="4"/>
      <c r="C160"/>
    </row>
    <row r="161" spans="2:3" x14ac:dyDescent="0.25">
      <c r="B161" s="4"/>
      <c r="C161"/>
    </row>
    <row r="162" spans="2:3" x14ac:dyDescent="0.25">
      <c r="B162" s="4"/>
      <c r="C162"/>
    </row>
    <row r="163" spans="2:3" x14ac:dyDescent="0.25">
      <c r="B163" s="4"/>
      <c r="C163"/>
    </row>
    <row r="164" spans="2:3" x14ac:dyDescent="0.25">
      <c r="B164" s="4"/>
      <c r="C164"/>
    </row>
    <row r="165" spans="2:3" x14ac:dyDescent="0.25">
      <c r="B165" s="4"/>
      <c r="C165"/>
    </row>
    <row r="166" spans="2:3" x14ac:dyDescent="0.25">
      <c r="B166" s="4"/>
      <c r="C166"/>
    </row>
    <row r="167" spans="2:3" x14ac:dyDescent="0.25">
      <c r="B167" s="4"/>
      <c r="C167"/>
    </row>
    <row r="168" spans="2:3" x14ac:dyDescent="0.25">
      <c r="B168" s="4"/>
      <c r="C168"/>
    </row>
    <row r="169" spans="2:3" x14ac:dyDescent="0.25">
      <c r="B169" s="4"/>
      <c r="C169"/>
    </row>
    <row r="170" spans="2:3" x14ac:dyDescent="0.25">
      <c r="B170" s="4"/>
      <c r="C170"/>
    </row>
    <row r="171" spans="2:3" x14ac:dyDescent="0.25">
      <c r="B171" s="4"/>
      <c r="C171"/>
    </row>
    <row r="172" spans="2:3" x14ac:dyDescent="0.25">
      <c r="B172" s="4"/>
      <c r="C172"/>
    </row>
    <row r="173" spans="2:3" x14ac:dyDescent="0.25">
      <c r="B173" s="4"/>
      <c r="C173"/>
    </row>
    <row r="174" spans="2:3" x14ac:dyDescent="0.25">
      <c r="B174" s="4"/>
      <c r="C174"/>
    </row>
    <row r="175" spans="2:3" x14ac:dyDescent="0.25">
      <c r="B175" s="4"/>
      <c r="C175"/>
    </row>
    <row r="176" spans="2:3" x14ac:dyDescent="0.25">
      <c r="B176" s="4"/>
      <c r="C176"/>
    </row>
  </sheetData>
  <autoFilter ref="A1:F32"/>
  <conditionalFormatting sqref="E4">
    <cfRule type="expression" dxfId="0" priority="1">
      <formula>$C4&lt;0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16"/>
  <sheetViews>
    <sheetView topLeftCell="A16" workbookViewId="0">
      <selection activeCell="C1" sqref="C1:C16"/>
    </sheetView>
  </sheetViews>
  <sheetFormatPr defaultRowHeight="15" x14ac:dyDescent="0.25"/>
  <sheetData>
    <row r="1" spans="1:6" ht="26.25" thickBot="1" x14ac:dyDescent="0.3">
      <c r="A1" s="14">
        <v>8</v>
      </c>
      <c r="B1" s="15" t="s">
        <v>63</v>
      </c>
      <c r="C1" s="15" t="s">
        <v>64</v>
      </c>
      <c r="D1" s="15" t="s">
        <v>14</v>
      </c>
      <c r="E1" s="15"/>
      <c r="F1" s="15"/>
    </row>
    <row r="2" spans="1:6" ht="39" thickBot="1" x14ac:dyDescent="0.3">
      <c r="A2" s="16">
        <v>9</v>
      </c>
      <c r="B2" s="17" t="s">
        <v>65</v>
      </c>
      <c r="C2" s="17" t="s">
        <v>66</v>
      </c>
      <c r="D2" s="17" t="s">
        <v>14</v>
      </c>
      <c r="E2" s="17"/>
      <c r="F2" s="17"/>
    </row>
    <row r="3" spans="1:6" ht="26.25" thickBot="1" x14ac:dyDescent="0.3">
      <c r="A3" s="14">
        <v>10</v>
      </c>
      <c r="B3" s="15" t="s">
        <v>67</v>
      </c>
      <c r="C3" s="15" t="s">
        <v>68</v>
      </c>
      <c r="D3" s="15" t="s">
        <v>14</v>
      </c>
      <c r="E3" s="15"/>
      <c r="F3" s="15"/>
    </row>
    <row r="4" spans="1:6" ht="26.25" thickBot="1" x14ac:dyDescent="0.3">
      <c r="A4" s="16">
        <v>11</v>
      </c>
      <c r="B4" s="17" t="s">
        <v>69</v>
      </c>
      <c r="C4" s="17" t="s">
        <v>70</v>
      </c>
      <c r="D4" s="17" t="s">
        <v>14</v>
      </c>
      <c r="E4" s="17"/>
      <c r="F4" s="17"/>
    </row>
    <row r="5" spans="1:6" ht="39" thickBot="1" x14ac:dyDescent="0.3">
      <c r="A5" s="14">
        <v>12</v>
      </c>
      <c r="B5" s="15" t="s">
        <v>71</v>
      </c>
      <c r="C5" s="15" t="s">
        <v>72</v>
      </c>
      <c r="D5" s="15" t="s">
        <v>14</v>
      </c>
      <c r="E5" s="15"/>
      <c r="F5" s="15"/>
    </row>
    <row r="6" spans="1:6" ht="26.25" thickBot="1" x14ac:dyDescent="0.3">
      <c r="A6" s="16">
        <v>13</v>
      </c>
      <c r="B6" s="17" t="s">
        <v>73</v>
      </c>
      <c r="C6" s="17" t="s">
        <v>74</v>
      </c>
      <c r="D6" s="17" t="s">
        <v>14</v>
      </c>
      <c r="E6" s="17"/>
      <c r="F6" s="17"/>
    </row>
    <row r="7" spans="1:6" ht="39" thickBot="1" x14ac:dyDescent="0.3">
      <c r="A7" s="14">
        <v>14</v>
      </c>
      <c r="B7" s="15" t="s">
        <v>75</v>
      </c>
      <c r="C7" s="15" t="s">
        <v>76</v>
      </c>
      <c r="D7" s="15" t="s">
        <v>14</v>
      </c>
      <c r="E7" s="15"/>
      <c r="F7" s="15"/>
    </row>
    <row r="8" spans="1:6" ht="39" thickBot="1" x14ac:dyDescent="0.3">
      <c r="A8" s="16">
        <v>15</v>
      </c>
      <c r="B8" s="17" t="s">
        <v>77</v>
      </c>
      <c r="C8" s="17" t="s">
        <v>78</v>
      </c>
      <c r="D8" s="17" t="s">
        <v>14</v>
      </c>
      <c r="E8" s="17"/>
      <c r="F8" s="17"/>
    </row>
    <row r="9" spans="1:6" ht="26.25" thickBot="1" x14ac:dyDescent="0.3">
      <c r="A9" s="14">
        <v>16</v>
      </c>
      <c r="B9" s="15" t="s">
        <v>79</v>
      </c>
      <c r="C9" s="15" t="s">
        <v>80</v>
      </c>
      <c r="D9" s="15" t="s">
        <v>14</v>
      </c>
      <c r="E9" s="15"/>
      <c r="F9" s="15"/>
    </row>
    <row r="10" spans="1:6" ht="39" thickBot="1" x14ac:dyDescent="0.3">
      <c r="A10" s="16">
        <v>17</v>
      </c>
      <c r="B10" s="17" t="s">
        <v>81</v>
      </c>
      <c r="C10" s="17" t="s">
        <v>82</v>
      </c>
      <c r="D10" s="17" t="s">
        <v>14</v>
      </c>
      <c r="E10" s="17"/>
      <c r="F10" s="17"/>
    </row>
    <row r="11" spans="1:6" ht="26.25" thickBot="1" x14ac:dyDescent="0.3">
      <c r="A11" s="14">
        <v>18</v>
      </c>
      <c r="B11" s="15" t="s">
        <v>83</v>
      </c>
      <c r="C11" s="15" t="s">
        <v>84</v>
      </c>
      <c r="D11" s="15" t="s">
        <v>14</v>
      </c>
      <c r="E11" s="15"/>
      <c r="F11" s="15"/>
    </row>
    <row r="12" spans="1:6" ht="39" thickBot="1" x14ac:dyDescent="0.3">
      <c r="A12" s="16">
        <v>19</v>
      </c>
      <c r="B12" s="17" t="s">
        <v>85</v>
      </c>
      <c r="C12" s="17" t="s">
        <v>86</v>
      </c>
      <c r="D12" s="17" t="s">
        <v>14</v>
      </c>
      <c r="E12" s="17"/>
      <c r="F12" s="17"/>
    </row>
    <row r="13" spans="1:6" ht="26.25" thickBot="1" x14ac:dyDescent="0.3">
      <c r="A13" s="14">
        <v>20</v>
      </c>
      <c r="B13" s="15" t="s">
        <v>87</v>
      </c>
      <c r="C13" s="15" t="s">
        <v>88</v>
      </c>
      <c r="D13" s="15" t="s">
        <v>14</v>
      </c>
      <c r="E13" s="15"/>
      <c r="F13" s="15"/>
    </row>
    <row r="14" spans="1:6" ht="39" thickBot="1" x14ac:dyDescent="0.3">
      <c r="A14" s="16">
        <v>21</v>
      </c>
      <c r="B14" s="17" t="s">
        <v>89</v>
      </c>
      <c r="C14" s="17" t="s">
        <v>90</v>
      </c>
      <c r="D14" s="17" t="s">
        <v>14</v>
      </c>
      <c r="E14" s="17"/>
      <c r="F14" s="17"/>
    </row>
    <row r="15" spans="1:6" ht="26.25" thickBot="1" x14ac:dyDescent="0.3">
      <c r="A15" s="18">
        <v>22</v>
      </c>
      <c r="B15" s="19" t="s">
        <v>91</v>
      </c>
      <c r="C15" s="19" t="s">
        <v>92</v>
      </c>
      <c r="D15" s="19" t="s">
        <v>14</v>
      </c>
      <c r="E15" s="19"/>
      <c r="F15" s="19"/>
    </row>
    <row r="16" spans="1:6" ht="39" thickBot="1" x14ac:dyDescent="0.3">
      <c r="A16" s="16">
        <v>23</v>
      </c>
      <c r="B16" s="17" t="s">
        <v>93</v>
      </c>
      <c r="C16" s="17" t="s">
        <v>94</v>
      </c>
      <c r="D16" s="17" t="s">
        <v>95</v>
      </c>
      <c r="E16" s="13"/>
      <c r="F16" s="13"/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54" r:id="rId4" name="Control 30">
          <controlPr defaultSize="0" autoPict="0" r:id="rId5">
            <anchor moveWithCells="1">
              <from>
                <xdr:col>5</xdr:col>
                <xdr:colOff>0</xdr:colOff>
                <xdr:row>14</xdr:row>
                <xdr:rowOff>0</xdr:rowOff>
              </from>
              <to>
                <xdr:col>6</xdr:col>
                <xdr:colOff>304800</xdr:colOff>
                <xdr:row>14</xdr:row>
                <xdr:rowOff>228600</xdr:rowOff>
              </to>
            </anchor>
          </controlPr>
        </control>
      </mc:Choice>
      <mc:Fallback>
        <control shapeId="1054" r:id="rId4" name="Control 30"/>
      </mc:Fallback>
    </mc:AlternateContent>
    <mc:AlternateContent xmlns:mc="http://schemas.openxmlformats.org/markup-compatibility/2006">
      <mc:Choice Requires="x14">
        <control shapeId="1053" r:id="rId6" name="Control 29">
          <controlPr defaultSize="0" autoPict="0" r:id="rId7">
            <anchor moveWithCells="1">
              <from>
                <xdr:col>4</xdr:col>
                <xdr:colOff>0</xdr:colOff>
                <xdr:row>14</xdr:row>
                <xdr:rowOff>0</xdr:rowOff>
              </from>
              <to>
                <xdr:col>5</xdr:col>
                <xdr:colOff>304800</xdr:colOff>
                <xdr:row>14</xdr:row>
                <xdr:rowOff>228600</xdr:rowOff>
              </to>
            </anchor>
          </controlPr>
        </control>
      </mc:Choice>
      <mc:Fallback>
        <control shapeId="1053" r:id="rId6" name="Control 29"/>
      </mc:Fallback>
    </mc:AlternateContent>
    <mc:AlternateContent xmlns:mc="http://schemas.openxmlformats.org/markup-compatibility/2006">
      <mc:Choice Requires="x14">
        <control shapeId="1052" r:id="rId8" name="Control 28">
          <controlPr defaultSize="0" autoPict="0" r:id="rId9">
            <anchor moveWithCells="1">
              <from>
                <xdr:col>5</xdr:col>
                <xdr:colOff>0</xdr:colOff>
                <xdr:row>13</xdr:row>
                <xdr:rowOff>0</xdr:rowOff>
              </from>
              <to>
                <xdr:col>6</xdr:col>
                <xdr:colOff>304800</xdr:colOff>
                <xdr:row>13</xdr:row>
                <xdr:rowOff>228600</xdr:rowOff>
              </to>
            </anchor>
          </controlPr>
        </control>
      </mc:Choice>
      <mc:Fallback>
        <control shapeId="1052" r:id="rId8" name="Control 28"/>
      </mc:Fallback>
    </mc:AlternateContent>
    <mc:AlternateContent xmlns:mc="http://schemas.openxmlformats.org/markup-compatibility/2006">
      <mc:Choice Requires="x14">
        <control shapeId="1051" r:id="rId10" name="Control 27">
          <controlPr defaultSize="0" autoPict="0" r:id="rId11">
            <anchor moveWithCells="1">
              <from>
                <xdr:col>4</xdr:col>
                <xdr:colOff>0</xdr:colOff>
                <xdr:row>13</xdr:row>
                <xdr:rowOff>0</xdr:rowOff>
              </from>
              <to>
                <xdr:col>5</xdr:col>
                <xdr:colOff>304800</xdr:colOff>
                <xdr:row>13</xdr:row>
                <xdr:rowOff>228600</xdr:rowOff>
              </to>
            </anchor>
          </controlPr>
        </control>
      </mc:Choice>
      <mc:Fallback>
        <control shapeId="1051" r:id="rId10" name="Control 27"/>
      </mc:Fallback>
    </mc:AlternateContent>
    <mc:AlternateContent xmlns:mc="http://schemas.openxmlformats.org/markup-compatibility/2006">
      <mc:Choice Requires="x14">
        <control shapeId="1050" r:id="rId12" name="Control 26">
          <controlPr defaultSize="0" autoPict="0" r:id="rId13">
            <anchor moveWithCells="1">
              <from>
                <xdr:col>5</xdr:col>
                <xdr:colOff>0</xdr:colOff>
                <xdr:row>12</xdr:row>
                <xdr:rowOff>0</xdr:rowOff>
              </from>
              <to>
                <xdr:col>6</xdr:col>
                <xdr:colOff>304800</xdr:colOff>
                <xdr:row>12</xdr:row>
                <xdr:rowOff>228600</xdr:rowOff>
              </to>
            </anchor>
          </controlPr>
        </control>
      </mc:Choice>
      <mc:Fallback>
        <control shapeId="1050" r:id="rId12" name="Control 26"/>
      </mc:Fallback>
    </mc:AlternateContent>
    <mc:AlternateContent xmlns:mc="http://schemas.openxmlformats.org/markup-compatibility/2006">
      <mc:Choice Requires="x14">
        <control shapeId="1049" r:id="rId14" name="Control 25">
          <controlPr defaultSize="0" autoPict="0" r:id="rId15">
            <anchor moveWithCells="1">
              <from>
                <xdr:col>4</xdr:col>
                <xdr:colOff>0</xdr:colOff>
                <xdr:row>12</xdr:row>
                <xdr:rowOff>0</xdr:rowOff>
              </from>
              <to>
                <xdr:col>5</xdr:col>
                <xdr:colOff>304800</xdr:colOff>
                <xdr:row>12</xdr:row>
                <xdr:rowOff>228600</xdr:rowOff>
              </to>
            </anchor>
          </controlPr>
        </control>
      </mc:Choice>
      <mc:Fallback>
        <control shapeId="1049" r:id="rId14" name="Control 25"/>
      </mc:Fallback>
    </mc:AlternateContent>
    <mc:AlternateContent xmlns:mc="http://schemas.openxmlformats.org/markup-compatibility/2006">
      <mc:Choice Requires="x14">
        <control shapeId="1048" r:id="rId16" name="Control 24">
          <controlPr defaultSize="0" autoPict="0" r:id="rId17">
            <anchor moveWithCells="1">
              <from>
                <xdr:col>5</xdr:col>
                <xdr:colOff>0</xdr:colOff>
                <xdr:row>11</xdr:row>
                <xdr:rowOff>0</xdr:rowOff>
              </from>
              <to>
                <xdr:col>6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1048" r:id="rId16" name="Control 24"/>
      </mc:Fallback>
    </mc:AlternateContent>
    <mc:AlternateContent xmlns:mc="http://schemas.openxmlformats.org/markup-compatibility/2006">
      <mc:Choice Requires="x14">
        <control shapeId="1047" r:id="rId18" name="Control 23">
          <controlPr defaultSize="0" autoPict="0" r:id="rId19">
            <anchor moveWithCells="1">
              <from>
                <xdr:col>4</xdr:col>
                <xdr:colOff>0</xdr:colOff>
                <xdr:row>11</xdr:row>
                <xdr:rowOff>0</xdr:rowOff>
              </from>
              <to>
                <xdr:col>5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1047" r:id="rId18" name="Control 23"/>
      </mc:Fallback>
    </mc:AlternateContent>
    <mc:AlternateContent xmlns:mc="http://schemas.openxmlformats.org/markup-compatibility/2006">
      <mc:Choice Requires="x14">
        <control shapeId="1046" r:id="rId20" name="Control 22">
          <controlPr defaultSize="0" autoPict="0" r:id="rId21">
            <anchor moveWithCells="1">
              <from>
                <xdr:col>5</xdr:col>
                <xdr:colOff>0</xdr:colOff>
                <xdr:row>10</xdr:row>
                <xdr:rowOff>0</xdr:rowOff>
              </from>
              <to>
                <xdr:col>6</xdr:col>
                <xdr:colOff>304800</xdr:colOff>
                <xdr:row>10</xdr:row>
                <xdr:rowOff>228600</xdr:rowOff>
              </to>
            </anchor>
          </controlPr>
        </control>
      </mc:Choice>
      <mc:Fallback>
        <control shapeId="1046" r:id="rId20" name="Control 22"/>
      </mc:Fallback>
    </mc:AlternateContent>
    <mc:AlternateContent xmlns:mc="http://schemas.openxmlformats.org/markup-compatibility/2006">
      <mc:Choice Requires="x14">
        <control shapeId="1045" r:id="rId22" name="Control 21">
          <controlPr defaultSize="0" autoPict="0" r:id="rId23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5</xdr:col>
                <xdr:colOff>304800</xdr:colOff>
                <xdr:row>10</xdr:row>
                <xdr:rowOff>228600</xdr:rowOff>
              </to>
            </anchor>
          </controlPr>
        </control>
      </mc:Choice>
      <mc:Fallback>
        <control shapeId="1045" r:id="rId22" name="Control 21"/>
      </mc:Fallback>
    </mc:AlternateContent>
    <mc:AlternateContent xmlns:mc="http://schemas.openxmlformats.org/markup-compatibility/2006">
      <mc:Choice Requires="x14">
        <control shapeId="1044" r:id="rId24" name="Control 20">
          <controlPr defaultSize="0" autoPict="0" r:id="rId25">
            <anchor moveWithCells="1">
              <from>
                <xdr:col>5</xdr:col>
                <xdr:colOff>0</xdr:colOff>
                <xdr:row>9</xdr:row>
                <xdr:rowOff>0</xdr:rowOff>
              </from>
              <to>
                <xdr:col>6</xdr:col>
                <xdr:colOff>304800</xdr:colOff>
                <xdr:row>9</xdr:row>
                <xdr:rowOff>228600</xdr:rowOff>
              </to>
            </anchor>
          </controlPr>
        </control>
      </mc:Choice>
      <mc:Fallback>
        <control shapeId="1044" r:id="rId24" name="Control 20"/>
      </mc:Fallback>
    </mc:AlternateContent>
    <mc:AlternateContent xmlns:mc="http://schemas.openxmlformats.org/markup-compatibility/2006">
      <mc:Choice Requires="x14">
        <control shapeId="1043" r:id="rId26" name="Control 19">
          <controlPr defaultSize="0" autoPict="0" r:id="rId27">
            <anchor moveWithCells="1">
              <from>
                <xdr:col>4</xdr:col>
                <xdr:colOff>0</xdr:colOff>
                <xdr:row>9</xdr:row>
                <xdr:rowOff>0</xdr:rowOff>
              </from>
              <to>
                <xdr:col>5</xdr:col>
                <xdr:colOff>304800</xdr:colOff>
                <xdr:row>9</xdr:row>
                <xdr:rowOff>228600</xdr:rowOff>
              </to>
            </anchor>
          </controlPr>
        </control>
      </mc:Choice>
      <mc:Fallback>
        <control shapeId="1043" r:id="rId26" name="Control 19"/>
      </mc:Fallback>
    </mc:AlternateContent>
    <mc:AlternateContent xmlns:mc="http://schemas.openxmlformats.org/markup-compatibility/2006">
      <mc:Choice Requires="x14">
        <control shapeId="1042" r:id="rId28" name="Control 18">
          <controlPr defaultSize="0" autoPict="0" r:id="rId29">
            <anchor moveWithCells="1">
              <from>
                <xdr:col>5</xdr:col>
                <xdr:colOff>0</xdr:colOff>
                <xdr:row>8</xdr:row>
                <xdr:rowOff>0</xdr:rowOff>
              </from>
              <to>
                <xdr:col>6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1042" r:id="rId28" name="Control 18"/>
      </mc:Fallback>
    </mc:AlternateContent>
    <mc:AlternateContent xmlns:mc="http://schemas.openxmlformats.org/markup-compatibility/2006">
      <mc:Choice Requires="x14">
        <control shapeId="1041" r:id="rId30" name="Control 17">
          <controlPr defaultSize="0" autoPict="0" r:id="rId31">
            <anchor moveWithCells="1">
              <from>
                <xdr:col>4</xdr:col>
                <xdr:colOff>0</xdr:colOff>
                <xdr:row>8</xdr:row>
                <xdr:rowOff>0</xdr:rowOff>
              </from>
              <to>
                <xdr:col>5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1041" r:id="rId30" name="Control 17"/>
      </mc:Fallback>
    </mc:AlternateContent>
    <mc:AlternateContent xmlns:mc="http://schemas.openxmlformats.org/markup-compatibility/2006">
      <mc:Choice Requires="x14">
        <control shapeId="1040" r:id="rId32" name="Control 16">
          <controlPr defaultSize="0" autoPict="0" r:id="rId33">
            <anchor moveWithCells="1">
              <from>
                <xdr:col>5</xdr:col>
                <xdr:colOff>0</xdr:colOff>
                <xdr:row>7</xdr:row>
                <xdr:rowOff>0</xdr:rowOff>
              </from>
              <to>
                <xdr:col>6</xdr:col>
                <xdr:colOff>304800</xdr:colOff>
                <xdr:row>7</xdr:row>
                <xdr:rowOff>228600</xdr:rowOff>
              </to>
            </anchor>
          </controlPr>
        </control>
      </mc:Choice>
      <mc:Fallback>
        <control shapeId="1040" r:id="rId32" name="Control 16"/>
      </mc:Fallback>
    </mc:AlternateContent>
    <mc:AlternateContent xmlns:mc="http://schemas.openxmlformats.org/markup-compatibility/2006">
      <mc:Choice Requires="x14">
        <control shapeId="1039" r:id="rId34" name="Control 15">
          <controlPr defaultSize="0" autoPict="0" r:id="rId35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5</xdr:col>
                <xdr:colOff>304800</xdr:colOff>
                <xdr:row>7</xdr:row>
                <xdr:rowOff>228600</xdr:rowOff>
              </to>
            </anchor>
          </controlPr>
        </control>
      </mc:Choice>
      <mc:Fallback>
        <control shapeId="1039" r:id="rId34" name="Control 15"/>
      </mc:Fallback>
    </mc:AlternateContent>
    <mc:AlternateContent xmlns:mc="http://schemas.openxmlformats.org/markup-compatibility/2006">
      <mc:Choice Requires="x14">
        <control shapeId="1038" r:id="rId36" name="Control 14">
          <controlPr defaultSize="0" autoPict="0" r:id="rId37">
            <anchor moveWithCells="1">
              <from>
                <xdr:col>5</xdr:col>
                <xdr:colOff>0</xdr:colOff>
                <xdr:row>6</xdr:row>
                <xdr:rowOff>0</xdr:rowOff>
              </from>
              <to>
                <xdr:col>6</xdr:col>
                <xdr:colOff>304800</xdr:colOff>
                <xdr:row>6</xdr:row>
                <xdr:rowOff>228600</xdr:rowOff>
              </to>
            </anchor>
          </controlPr>
        </control>
      </mc:Choice>
      <mc:Fallback>
        <control shapeId="1038" r:id="rId36" name="Control 14"/>
      </mc:Fallback>
    </mc:AlternateContent>
    <mc:AlternateContent xmlns:mc="http://schemas.openxmlformats.org/markup-compatibility/2006">
      <mc:Choice Requires="x14">
        <control shapeId="1037" r:id="rId38" name="Control 13">
          <controlPr defaultSize="0" autoPict="0" r:id="rId39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5</xdr:col>
                <xdr:colOff>304800</xdr:colOff>
                <xdr:row>6</xdr:row>
                <xdr:rowOff>228600</xdr:rowOff>
              </to>
            </anchor>
          </controlPr>
        </control>
      </mc:Choice>
      <mc:Fallback>
        <control shapeId="1037" r:id="rId38" name="Control 13"/>
      </mc:Fallback>
    </mc:AlternateContent>
    <mc:AlternateContent xmlns:mc="http://schemas.openxmlformats.org/markup-compatibility/2006">
      <mc:Choice Requires="x14">
        <control shapeId="1036" r:id="rId40" name="Control 12">
          <controlPr defaultSize="0" autoPict="0" r:id="rId41">
            <anchor moveWithCells="1">
              <from>
                <xdr:col>5</xdr:col>
                <xdr:colOff>0</xdr:colOff>
                <xdr:row>5</xdr:row>
                <xdr:rowOff>0</xdr:rowOff>
              </from>
              <to>
                <xdr:col>6</xdr:col>
                <xdr:colOff>304800</xdr:colOff>
                <xdr:row>5</xdr:row>
                <xdr:rowOff>228600</xdr:rowOff>
              </to>
            </anchor>
          </controlPr>
        </control>
      </mc:Choice>
      <mc:Fallback>
        <control shapeId="1036" r:id="rId40" name="Control 12"/>
      </mc:Fallback>
    </mc:AlternateContent>
    <mc:AlternateContent xmlns:mc="http://schemas.openxmlformats.org/markup-compatibility/2006">
      <mc:Choice Requires="x14">
        <control shapeId="1035" r:id="rId42" name="Control 11">
          <controlPr defaultSize="0" autoPict="0" r:id="rId43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5</xdr:col>
                <xdr:colOff>304800</xdr:colOff>
                <xdr:row>5</xdr:row>
                <xdr:rowOff>228600</xdr:rowOff>
              </to>
            </anchor>
          </controlPr>
        </control>
      </mc:Choice>
      <mc:Fallback>
        <control shapeId="1035" r:id="rId42" name="Control 11"/>
      </mc:Fallback>
    </mc:AlternateContent>
    <mc:AlternateContent xmlns:mc="http://schemas.openxmlformats.org/markup-compatibility/2006">
      <mc:Choice Requires="x14">
        <control shapeId="1034" r:id="rId44" name="Control 10">
          <controlPr defaultSize="0" autoPict="0" r:id="rId45">
            <anchor moveWithCells="1">
              <from>
                <xdr:col>5</xdr:col>
                <xdr:colOff>0</xdr:colOff>
                <xdr:row>4</xdr:row>
                <xdr:rowOff>0</xdr:rowOff>
              </from>
              <to>
                <xdr:col>6</xdr:col>
                <xdr:colOff>304800</xdr:colOff>
                <xdr:row>4</xdr:row>
                <xdr:rowOff>228600</xdr:rowOff>
              </to>
            </anchor>
          </controlPr>
        </control>
      </mc:Choice>
      <mc:Fallback>
        <control shapeId="1034" r:id="rId44" name="Control 10"/>
      </mc:Fallback>
    </mc:AlternateContent>
    <mc:AlternateContent xmlns:mc="http://schemas.openxmlformats.org/markup-compatibility/2006">
      <mc:Choice Requires="x14">
        <control shapeId="1033" r:id="rId46" name="Control 9">
          <controlPr defaultSize="0" autoPict="0" r:id="rId47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5</xdr:col>
                <xdr:colOff>304800</xdr:colOff>
                <xdr:row>4</xdr:row>
                <xdr:rowOff>228600</xdr:rowOff>
              </to>
            </anchor>
          </controlPr>
        </control>
      </mc:Choice>
      <mc:Fallback>
        <control shapeId="1033" r:id="rId46" name="Control 9"/>
      </mc:Fallback>
    </mc:AlternateContent>
    <mc:AlternateContent xmlns:mc="http://schemas.openxmlformats.org/markup-compatibility/2006">
      <mc:Choice Requires="x14">
        <control shapeId="1032" r:id="rId48" name="Control 8">
          <controlPr defaultSize="0" autoPict="0" r:id="rId49">
            <anchor moveWithCells="1">
              <from>
                <xdr:col>5</xdr:col>
                <xdr:colOff>0</xdr:colOff>
                <xdr:row>3</xdr:row>
                <xdr:rowOff>0</xdr:rowOff>
              </from>
              <to>
                <xdr:col>6</xdr:col>
                <xdr:colOff>304800</xdr:colOff>
                <xdr:row>3</xdr:row>
                <xdr:rowOff>228600</xdr:rowOff>
              </to>
            </anchor>
          </controlPr>
        </control>
      </mc:Choice>
      <mc:Fallback>
        <control shapeId="1032" r:id="rId48" name="Control 8"/>
      </mc:Fallback>
    </mc:AlternateContent>
    <mc:AlternateContent xmlns:mc="http://schemas.openxmlformats.org/markup-compatibility/2006">
      <mc:Choice Requires="x14">
        <control shapeId="1031" r:id="rId50" name="Control 7">
          <controlPr defaultSize="0" autoPict="0" r:id="rId51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5</xdr:col>
                <xdr:colOff>304800</xdr:colOff>
                <xdr:row>3</xdr:row>
                <xdr:rowOff>228600</xdr:rowOff>
              </to>
            </anchor>
          </controlPr>
        </control>
      </mc:Choice>
      <mc:Fallback>
        <control shapeId="1031" r:id="rId50" name="Control 7"/>
      </mc:Fallback>
    </mc:AlternateContent>
    <mc:AlternateContent xmlns:mc="http://schemas.openxmlformats.org/markup-compatibility/2006">
      <mc:Choice Requires="x14">
        <control shapeId="1030" r:id="rId52" name="Control 6">
          <controlPr defaultSize="0" autoPict="0" r:id="rId5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304800</xdr:colOff>
                <xdr:row>2</xdr:row>
                <xdr:rowOff>228600</xdr:rowOff>
              </to>
            </anchor>
          </controlPr>
        </control>
      </mc:Choice>
      <mc:Fallback>
        <control shapeId="1030" r:id="rId52" name="Control 6"/>
      </mc:Fallback>
    </mc:AlternateContent>
    <mc:AlternateContent xmlns:mc="http://schemas.openxmlformats.org/markup-compatibility/2006">
      <mc:Choice Requires="x14">
        <control shapeId="1029" r:id="rId54" name="Control 5">
          <controlPr defaultSize="0" autoPict="0" r:id="rId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5</xdr:col>
                <xdr:colOff>304800</xdr:colOff>
                <xdr:row>2</xdr:row>
                <xdr:rowOff>228600</xdr:rowOff>
              </to>
            </anchor>
          </controlPr>
        </control>
      </mc:Choice>
      <mc:Fallback>
        <control shapeId="1029" r:id="rId54" name="Control 5"/>
      </mc:Fallback>
    </mc:AlternateContent>
    <mc:AlternateContent xmlns:mc="http://schemas.openxmlformats.org/markup-compatibility/2006">
      <mc:Choice Requires="x14">
        <control shapeId="1028" r:id="rId56" name="Control 4">
          <controlPr defaultSize="0" autoPict="0" r:id="rId57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6</xdr:col>
                <xdr:colOff>304800</xdr:colOff>
                <xdr:row>1</xdr:row>
                <xdr:rowOff>228600</xdr:rowOff>
              </to>
            </anchor>
          </controlPr>
        </control>
      </mc:Choice>
      <mc:Fallback>
        <control shapeId="1028" r:id="rId56" name="Control 4"/>
      </mc:Fallback>
    </mc:AlternateContent>
    <mc:AlternateContent xmlns:mc="http://schemas.openxmlformats.org/markup-compatibility/2006">
      <mc:Choice Requires="x14">
        <control shapeId="1027" r:id="rId58" name="Control 3">
          <controlPr defaultSize="0" autoPict="0" r:id="rId59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5</xdr:col>
                <xdr:colOff>304800</xdr:colOff>
                <xdr:row>1</xdr:row>
                <xdr:rowOff>228600</xdr:rowOff>
              </to>
            </anchor>
          </controlPr>
        </control>
      </mc:Choice>
      <mc:Fallback>
        <control shapeId="1027" r:id="rId58" name="Control 3"/>
      </mc:Fallback>
    </mc:AlternateContent>
    <mc:AlternateContent xmlns:mc="http://schemas.openxmlformats.org/markup-compatibility/2006">
      <mc:Choice Requires="x14">
        <control shapeId="1026" r:id="rId60" name="Control 2">
          <controlPr defaultSize="0" autoPict="0" r:id="rId61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6</xdr:col>
                <xdr:colOff>304800</xdr:colOff>
                <xdr:row>0</xdr:row>
                <xdr:rowOff>228600</xdr:rowOff>
              </to>
            </anchor>
          </controlPr>
        </control>
      </mc:Choice>
      <mc:Fallback>
        <control shapeId="1026" r:id="rId60" name="Control 2"/>
      </mc:Fallback>
    </mc:AlternateContent>
    <mc:AlternateContent xmlns:mc="http://schemas.openxmlformats.org/markup-compatibility/2006">
      <mc:Choice Requires="x14">
        <control shapeId="1025" r:id="rId62" name="Control 1">
          <controlPr defaultSize="0" autoPict="0" r:id="rId63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5</xdr:col>
                <xdr:colOff>304800</xdr:colOff>
                <xdr:row>0</xdr:row>
                <xdr:rowOff>228600</xdr:rowOff>
              </to>
            </anchor>
          </controlPr>
        </control>
      </mc:Choice>
      <mc:Fallback>
        <control shapeId="1025" r:id="rId62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F65"/>
  <sheetViews>
    <sheetView workbookViewId="0">
      <selection activeCell="E2" sqref="E2:F62"/>
    </sheetView>
  </sheetViews>
  <sheetFormatPr defaultRowHeight="15" x14ac:dyDescent="0.25"/>
  <cols>
    <col min="1" max="1" width="47.7109375" bestFit="1" customWidth="1"/>
    <col min="2" max="2" width="11.42578125" bestFit="1" customWidth="1"/>
    <col min="3" max="3" width="20.140625" bestFit="1" customWidth="1"/>
    <col min="4" max="4" width="25.140625" bestFit="1" customWidth="1"/>
    <col min="5" max="5" width="47.7109375" bestFit="1" customWidth="1"/>
    <col min="6" max="6" width="15.42578125" bestFit="1" customWidth="1"/>
  </cols>
  <sheetData>
    <row r="2" spans="1:6" x14ac:dyDescent="0.25">
      <c r="A2">
        <v>1</v>
      </c>
      <c r="B2" t="s">
        <v>7</v>
      </c>
      <c r="C2" t="s">
        <v>8</v>
      </c>
      <c r="D2" t="s">
        <v>9</v>
      </c>
      <c r="E2" s="9">
        <f>A3</f>
        <v>1500000</v>
      </c>
      <c r="F2" t="str">
        <f>A4</f>
        <v>Chi phí lưu động</v>
      </c>
    </row>
    <row r="3" spans="1:6" hidden="1" x14ac:dyDescent="0.25">
      <c r="A3" s="9">
        <v>1500000</v>
      </c>
      <c r="E3" s="9" t="str">
        <f t="shared" ref="E3:E65" si="0">A4</f>
        <v>Chi phí lưu động</v>
      </c>
      <c r="F3" t="str">
        <f t="shared" ref="F3:F65" si="1">A5</f>
        <v>Xóa</v>
      </c>
    </row>
    <row r="4" spans="1:6" hidden="1" x14ac:dyDescent="0.25">
      <c r="A4" t="s">
        <v>10</v>
      </c>
      <c r="E4" s="9" t="str">
        <f t="shared" si="0"/>
        <v>Xóa</v>
      </c>
      <c r="F4">
        <f t="shared" si="1"/>
        <v>2</v>
      </c>
    </row>
    <row r="5" spans="1:6" hidden="1" x14ac:dyDescent="0.25">
      <c r="A5" t="s">
        <v>11</v>
      </c>
      <c r="E5" s="9">
        <f t="shared" si="0"/>
        <v>2</v>
      </c>
      <c r="F5">
        <f t="shared" si="1"/>
        <v>1500000</v>
      </c>
    </row>
    <row r="6" spans="1:6" x14ac:dyDescent="0.25">
      <c r="A6">
        <v>2</v>
      </c>
      <c r="B6" t="s">
        <v>12</v>
      </c>
      <c r="C6" t="s">
        <v>13</v>
      </c>
      <c r="D6" t="s">
        <v>14</v>
      </c>
      <c r="E6" s="9">
        <f t="shared" si="0"/>
        <v>1500000</v>
      </c>
      <c r="F6" t="str">
        <f t="shared" si="1"/>
        <v>Chi phí lưu động</v>
      </c>
    </row>
    <row r="7" spans="1:6" hidden="1" x14ac:dyDescent="0.25">
      <c r="A7" s="9">
        <v>1500000</v>
      </c>
      <c r="E7" s="9" t="str">
        <f t="shared" si="0"/>
        <v>Chi phí lưu động</v>
      </c>
      <c r="F7" t="str">
        <f t="shared" si="1"/>
        <v>Xóa</v>
      </c>
    </row>
    <row r="8" spans="1:6" hidden="1" x14ac:dyDescent="0.25">
      <c r="A8" t="s">
        <v>10</v>
      </c>
      <c r="E8" s="9" t="str">
        <f t="shared" si="0"/>
        <v>Xóa</v>
      </c>
      <c r="F8">
        <f t="shared" si="1"/>
        <v>3</v>
      </c>
    </row>
    <row r="9" spans="1:6" hidden="1" x14ac:dyDescent="0.25">
      <c r="A9" t="s">
        <v>11</v>
      </c>
      <c r="E9" s="9">
        <f t="shared" si="0"/>
        <v>3</v>
      </c>
      <c r="F9">
        <f t="shared" si="1"/>
        <v>2400000</v>
      </c>
    </row>
    <row r="10" spans="1:6" x14ac:dyDescent="0.25">
      <c r="A10">
        <v>3</v>
      </c>
      <c r="B10" t="s">
        <v>15</v>
      </c>
      <c r="C10" t="s">
        <v>16</v>
      </c>
      <c r="D10" t="s">
        <v>17</v>
      </c>
      <c r="E10" s="9">
        <f t="shared" si="0"/>
        <v>2400000</v>
      </c>
      <c r="F10" t="str">
        <f t="shared" si="1"/>
        <v>PC công trình tỉnh</v>
      </c>
    </row>
    <row r="11" spans="1:6" hidden="1" x14ac:dyDescent="0.25">
      <c r="A11" s="9">
        <v>2400000</v>
      </c>
      <c r="E11" s="9" t="str">
        <f t="shared" si="0"/>
        <v>PC công trình tỉnh</v>
      </c>
      <c r="F11" t="str">
        <f t="shared" si="1"/>
        <v>Xóa</v>
      </c>
    </row>
    <row r="12" spans="1:6" hidden="1" x14ac:dyDescent="0.25">
      <c r="A12" t="s">
        <v>18</v>
      </c>
      <c r="E12" s="9" t="str">
        <f t="shared" si="0"/>
        <v>Xóa</v>
      </c>
      <c r="F12">
        <f t="shared" si="1"/>
        <v>4</v>
      </c>
    </row>
    <row r="13" spans="1:6" hidden="1" x14ac:dyDescent="0.25">
      <c r="A13" t="s">
        <v>11</v>
      </c>
      <c r="E13" s="9">
        <f t="shared" si="0"/>
        <v>4</v>
      </c>
      <c r="F13">
        <f t="shared" si="1"/>
        <v>2400000</v>
      </c>
    </row>
    <row r="14" spans="1:6" x14ac:dyDescent="0.25">
      <c r="A14">
        <v>4</v>
      </c>
      <c r="B14" t="s">
        <v>19</v>
      </c>
      <c r="C14" t="s">
        <v>20</v>
      </c>
      <c r="D14" t="s">
        <v>17</v>
      </c>
      <c r="E14" s="9">
        <f t="shared" si="0"/>
        <v>2400000</v>
      </c>
      <c r="F14" t="str">
        <f t="shared" si="1"/>
        <v>PC công trình tỉnh</v>
      </c>
    </row>
    <row r="15" spans="1:6" hidden="1" x14ac:dyDescent="0.25">
      <c r="A15" s="9">
        <v>2400000</v>
      </c>
      <c r="E15" s="9" t="str">
        <f t="shared" si="0"/>
        <v>PC công trình tỉnh</v>
      </c>
      <c r="F15" t="str">
        <f t="shared" si="1"/>
        <v>Xóa</v>
      </c>
    </row>
    <row r="16" spans="1:6" hidden="1" x14ac:dyDescent="0.25">
      <c r="A16" t="s">
        <v>18</v>
      </c>
      <c r="E16" s="9" t="str">
        <f t="shared" si="0"/>
        <v>Xóa</v>
      </c>
      <c r="F16">
        <f t="shared" si="1"/>
        <v>5</v>
      </c>
    </row>
    <row r="17" spans="1:6" hidden="1" x14ac:dyDescent="0.25">
      <c r="A17" t="s">
        <v>11</v>
      </c>
      <c r="E17" s="9">
        <f t="shared" si="0"/>
        <v>5</v>
      </c>
      <c r="F17">
        <f t="shared" si="1"/>
        <v>2400000</v>
      </c>
    </row>
    <row r="18" spans="1:6" x14ac:dyDescent="0.25">
      <c r="A18">
        <v>5</v>
      </c>
      <c r="B18" t="s">
        <v>21</v>
      </c>
      <c r="C18" t="s">
        <v>22</v>
      </c>
      <c r="D18" t="s">
        <v>17</v>
      </c>
      <c r="E18" s="9">
        <f t="shared" si="0"/>
        <v>2400000</v>
      </c>
      <c r="F18" t="str">
        <f t="shared" si="1"/>
        <v>PC công trình tỉnh</v>
      </c>
    </row>
    <row r="19" spans="1:6" hidden="1" x14ac:dyDescent="0.25">
      <c r="A19" s="9">
        <v>2400000</v>
      </c>
      <c r="E19" s="9" t="str">
        <f t="shared" si="0"/>
        <v>PC công trình tỉnh</v>
      </c>
      <c r="F19" t="str">
        <f t="shared" si="1"/>
        <v>Xóa</v>
      </c>
    </row>
    <row r="20" spans="1:6" hidden="1" x14ac:dyDescent="0.25">
      <c r="A20" t="s">
        <v>18</v>
      </c>
      <c r="E20" s="9" t="str">
        <f t="shared" si="0"/>
        <v>Xóa</v>
      </c>
      <c r="F20">
        <f t="shared" si="1"/>
        <v>6</v>
      </c>
    </row>
    <row r="21" spans="1:6" hidden="1" x14ac:dyDescent="0.25">
      <c r="A21" t="s">
        <v>11</v>
      </c>
      <c r="E21" s="9">
        <f t="shared" si="0"/>
        <v>6</v>
      </c>
      <c r="F21">
        <f t="shared" si="1"/>
        <v>2400000</v>
      </c>
    </row>
    <row r="22" spans="1:6" x14ac:dyDescent="0.25">
      <c r="A22">
        <v>6</v>
      </c>
      <c r="B22" t="s">
        <v>23</v>
      </c>
      <c r="C22" t="s">
        <v>24</v>
      </c>
      <c r="D22" t="s">
        <v>17</v>
      </c>
      <c r="E22" s="9">
        <f t="shared" si="0"/>
        <v>2400000</v>
      </c>
      <c r="F22" t="str">
        <f t="shared" si="1"/>
        <v>PC công trình tỉnh</v>
      </c>
    </row>
    <row r="23" spans="1:6" hidden="1" x14ac:dyDescent="0.25">
      <c r="A23" s="9">
        <v>2400000</v>
      </c>
      <c r="E23" s="9" t="str">
        <f t="shared" si="0"/>
        <v>PC công trình tỉnh</v>
      </c>
      <c r="F23" t="str">
        <f t="shared" si="1"/>
        <v>Xóa</v>
      </c>
    </row>
    <row r="24" spans="1:6" hidden="1" x14ac:dyDescent="0.25">
      <c r="A24" t="s">
        <v>18</v>
      </c>
      <c r="E24" s="9" t="str">
        <f t="shared" si="0"/>
        <v>Xóa</v>
      </c>
      <c r="F24">
        <f t="shared" si="1"/>
        <v>7</v>
      </c>
    </row>
    <row r="25" spans="1:6" hidden="1" x14ac:dyDescent="0.25">
      <c r="A25" t="s">
        <v>11</v>
      </c>
      <c r="E25" s="9">
        <f t="shared" si="0"/>
        <v>7</v>
      </c>
      <c r="F25">
        <f t="shared" si="1"/>
        <v>2400000</v>
      </c>
    </row>
    <row r="26" spans="1:6" x14ac:dyDescent="0.25">
      <c r="A26">
        <v>7</v>
      </c>
      <c r="B26" t="s">
        <v>25</v>
      </c>
      <c r="C26" t="s">
        <v>26</v>
      </c>
      <c r="D26" t="s">
        <v>17</v>
      </c>
      <c r="E26" s="9">
        <f t="shared" si="0"/>
        <v>2400000</v>
      </c>
      <c r="F26" t="str">
        <f t="shared" si="1"/>
        <v>PC công trình tỉnh</v>
      </c>
    </row>
    <row r="27" spans="1:6" hidden="1" x14ac:dyDescent="0.25">
      <c r="A27" s="9">
        <v>2400000</v>
      </c>
      <c r="E27" s="9" t="str">
        <f t="shared" si="0"/>
        <v>PC công trình tỉnh</v>
      </c>
      <c r="F27" t="str">
        <f t="shared" si="1"/>
        <v>Xóa</v>
      </c>
    </row>
    <row r="28" spans="1:6" hidden="1" x14ac:dyDescent="0.25">
      <c r="A28" t="s">
        <v>18</v>
      </c>
      <c r="E28" s="9" t="str">
        <f t="shared" si="0"/>
        <v>Xóa</v>
      </c>
      <c r="F28">
        <f t="shared" si="1"/>
        <v>8</v>
      </c>
    </row>
    <row r="29" spans="1:6" hidden="1" x14ac:dyDescent="0.25">
      <c r="A29" t="s">
        <v>11</v>
      </c>
      <c r="E29" s="9">
        <f t="shared" si="0"/>
        <v>8</v>
      </c>
      <c r="F29">
        <f t="shared" si="1"/>
        <v>3800000</v>
      </c>
    </row>
    <row r="30" spans="1:6" x14ac:dyDescent="0.25">
      <c r="A30">
        <v>8</v>
      </c>
      <c r="B30" t="s">
        <v>27</v>
      </c>
      <c r="C30" t="s">
        <v>28</v>
      </c>
      <c r="D30" t="s">
        <v>17</v>
      </c>
      <c r="E30" s="9">
        <f t="shared" si="0"/>
        <v>3800000</v>
      </c>
      <c r="F30" t="str">
        <f t="shared" si="1"/>
        <v>PC công trình tỉnh+ Truy lãnh 1.5tr PC kiêm nhiệm T1</v>
      </c>
    </row>
    <row r="31" spans="1:6" hidden="1" x14ac:dyDescent="0.25">
      <c r="A31" s="9">
        <v>3800000</v>
      </c>
      <c r="E31" s="9" t="str">
        <f t="shared" si="0"/>
        <v>PC công trình tỉnh+ Truy lãnh 1.5tr PC kiêm nhiệm T1</v>
      </c>
      <c r="F31" t="str">
        <f t="shared" si="1"/>
        <v>Xóa</v>
      </c>
    </row>
    <row r="32" spans="1:6" hidden="1" x14ac:dyDescent="0.25">
      <c r="A32" t="s">
        <v>29</v>
      </c>
      <c r="E32" s="9" t="str">
        <f t="shared" si="0"/>
        <v>Xóa</v>
      </c>
      <c r="F32">
        <f t="shared" si="1"/>
        <v>9</v>
      </c>
    </row>
    <row r="33" spans="1:6" hidden="1" x14ac:dyDescent="0.25">
      <c r="A33" t="s">
        <v>11</v>
      </c>
      <c r="E33" s="9">
        <f t="shared" si="0"/>
        <v>9</v>
      </c>
      <c r="F33">
        <f t="shared" si="1"/>
        <v>2400000</v>
      </c>
    </row>
    <row r="34" spans="1:6" x14ac:dyDescent="0.25">
      <c r="A34">
        <v>9</v>
      </c>
      <c r="B34" t="s">
        <v>30</v>
      </c>
      <c r="C34" t="s">
        <v>31</v>
      </c>
      <c r="D34" t="s">
        <v>17</v>
      </c>
      <c r="E34" s="9">
        <f t="shared" si="0"/>
        <v>2400000</v>
      </c>
      <c r="F34" t="str">
        <f t="shared" si="1"/>
        <v>PC công trình tỉnh</v>
      </c>
    </row>
    <row r="35" spans="1:6" hidden="1" x14ac:dyDescent="0.25">
      <c r="A35" s="9">
        <v>2400000</v>
      </c>
      <c r="E35" s="9" t="str">
        <f t="shared" si="0"/>
        <v>PC công trình tỉnh</v>
      </c>
      <c r="F35" t="str">
        <f t="shared" si="1"/>
        <v>Xóa</v>
      </c>
    </row>
    <row r="36" spans="1:6" hidden="1" x14ac:dyDescent="0.25">
      <c r="A36" t="s">
        <v>18</v>
      </c>
      <c r="E36" s="9" t="str">
        <f t="shared" si="0"/>
        <v>Xóa</v>
      </c>
      <c r="F36">
        <f t="shared" si="1"/>
        <v>10</v>
      </c>
    </row>
    <row r="37" spans="1:6" hidden="1" x14ac:dyDescent="0.25">
      <c r="A37" t="s">
        <v>11</v>
      </c>
      <c r="E37" s="9">
        <f t="shared" si="0"/>
        <v>10</v>
      </c>
      <c r="F37">
        <f t="shared" si="1"/>
        <v>1500000</v>
      </c>
    </row>
    <row r="38" spans="1:6" x14ac:dyDescent="0.25">
      <c r="A38">
        <v>10</v>
      </c>
      <c r="B38" t="s">
        <v>32</v>
      </c>
      <c r="C38" t="s">
        <v>33</v>
      </c>
      <c r="D38" t="s">
        <v>34</v>
      </c>
      <c r="E38" s="9">
        <f t="shared" si="0"/>
        <v>1500000</v>
      </c>
      <c r="F38" t="str">
        <f t="shared" si="1"/>
        <v>Truy lãnh PC kiêm nhiệm T1</v>
      </c>
    </row>
    <row r="39" spans="1:6" hidden="1" x14ac:dyDescent="0.25">
      <c r="A39" s="9">
        <v>1500000</v>
      </c>
      <c r="E39" s="9" t="str">
        <f t="shared" si="0"/>
        <v>Truy lãnh PC kiêm nhiệm T1</v>
      </c>
      <c r="F39" t="str">
        <f t="shared" si="1"/>
        <v>Xóa</v>
      </c>
    </row>
    <row r="40" spans="1:6" hidden="1" x14ac:dyDescent="0.25">
      <c r="A40" t="s">
        <v>35</v>
      </c>
      <c r="E40" s="9" t="str">
        <f t="shared" si="0"/>
        <v>Xóa</v>
      </c>
      <c r="F40">
        <f t="shared" si="1"/>
        <v>11</v>
      </c>
    </row>
    <row r="41" spans="1:6" hidden="1" x14ac:dyDescent="0.25">
      <c r="A41" t="s">
        <v>11</v>
      </c>
      <c r="E41" s="9">
        <f t="shared" si="0"/>
        <v>11</v>
      </c>
      <c r="F41">
        <f t="shared" si="1"/>
        <v>2000000</v>
      </c>
    </row>
    <row r="42" spans="1:6" x14ac:dyDescent="0.25">
      <c r="A42">
        <v>11</v>
      </c>
      <c r="B42" t="s">
        <v>36</v>
      </c>
      <c r="C42" t="s">
        <v>37</v>
      </c>
      <c r="D42" t="s">
        <v>38</v>
      </c>
      <c r="E42" s="9">
        <f t="shared" si="0"/>
        <v>2000000</v>
      </c>
      <c r="F42" t="str">
        <f t="shared" si="1"/>
        <v>PC công trình tỉnh</v>
      </c>
    </row>
    <row r="43" spans="1:6" hidden="1" x14ac:dyDescent="0.25">
      <c r="A43" s="9">
        <v>2000000</v>
      </c>
      <c r="E43" s="9" t="str">
        <f t="shared" si="0"/>
        <v>PC công trình tỉnh</v>
      </c>
      <c r="F43" t="str">
        <f t="shared" si="1"/>
        <v>Xóa</v>
      </c>
    </row>
    <row r="44" spans="1:6" hidden="1" x14ac:dyDescent="0.25">
      <c r="A44" t="s">
        <v>18</v>
      </c>
      <c r="E44" s="9" t="str">
        <f t="shared" si="0"/>
        <v>Xóa</v>
      </c>
      <c r="F44">
        <f t="shared" si="1"/>
        <v>12</v>
      </c>
    </row>
    <row r="45" spans="1:6" hidden="1" x14ac:dyDescent="0.25">
      <c r="A45" t="s">
        <v>11</v>
      </c>
      <c r="E45" s="9">
        <f t="shared" si="0"/>
        <v>12</v>
      </c>
      <c r="F45">
        <f t="shared" si="1"/>
        <v>1500000</v>
      </c>
    </row>
    <row r="46" spans="1:6" x14ac:dyDescent="0.25">
      <c r="A46">
        <v>12</v>
      </c>
      <c r="B46" t="s">
        <v>39</v>
      </c>
      <c r="C46" t="s">
        <v>40</v>
      </c>
      <c r="D46" t="s">
        <v>41</v>
      </c>
      <c r="E46" s="9">
        <f t="shared" si="0"/>
        <v>1500000</v>
      </c>
      <c r="F46" t="str">
        <f t="shared" si="1"/>
        <v>PC kiêm nhiệm từ T9 (1.5tr/tháng)</v>
      </c>
    </row>
    <row r="47" spans="1:6" hidden="1" x14ac:dyDescent="0.25">
      <c r="A47" s="9">
        <v>1500000</v>
      </c>
      <c r="E47" s="9" t="str">
        <f t="shared" si="0"/>
        <v>PC kiêm nhiệm từ T9 (1.5tr/tháng)</v>
      </c>
      <c r="F47" t="str">
        <f t="shared" si="1"/>
        <v>Xóa</v>
      </c>
    </row>
    <row r="48" spans="1:6" hidden="1" x14ac:dyDescent="0.25">
      <c r="A48" t="s">
        <v>42</v>
      </c>
      <c r="E48" s="9" t="str">
        <f t="shared" si="0"/>
        <v>Xóa</v>
      </c>
      <c r="F48">
        <f t="shared" si="1"/>
        <v>13</v>
      </c>
    </row>
    <row r="49" spans="1:6" hidden="1" x14ac:dyDescent="0.25">
      <c r="A49" t="s">
        <v>11</v>
      </c>
      <c r="E49" s="9">
        <f t="shared" si="0"/>
        <v>13</v>
      </c>
      <c r="F49">
        <f t="shared" si="1"/>
        <v>1000000</v>
      </c>
    </row>
    <row r="50" spans="1:6" x14ac:dyDescent="0.25">
      <c r="A50">
        <v>13</v>
      </c>
      <c r="B50" t="s">
        <v>43</v>
      </c>
      <c r="C50" t="s">
        <v>44</v>
      </c>
      <c r="D50" t="s">
        <v>41</v>
      </c>
      <c r="E50" s="9">
        <f t="shared" si="0"/>
        <v>1000000</v>
      </c>
      <c r="F50" t="str">
        <f t="shared" si="1"/>
        <v>PC kiêm nhiệm từ T9 (1tr/tháng)</v>
      </c>
    </row>
    <row r="51" spans="1:6" hidden="1" x14ac:dyDescent="0.25">
      <c r="A51" s="9">
        <v>1000000</v>
      </c>
      <c r="E51" s="9" t="str">
        <f t="shared" si="0"/>
        <v>PC kiêm nhiệm từ T9 (1tr/tháng)</v>
      </c>
      <c r="F51" t="str">
        <f t="shared" si="1"/>
        <v>Xóa</v>
      </c>
    </row>
    <row r="52" spans="1:6" hidden="1" x14ac:dyDescent="0.25">
      <c r="A52" t="s">
        <v>45</v>
      </c>
      <c r="E52" s="9" t="str">
        <f t="shared" si="0"/>
        <v>Xóa</v>
      </c>
      <c r="F52">
        <f t="shared" si="1"/>
        <v>14</v>
      </c>
    </row>
    <row r="53" spans="1:6" hidden="1" x14ac:dyDescent="0.25">
      <c r="A53" t="s">
        <v>11</v>
      </c>
      <c r="E53" s="9">
        <f t="shared" si="0"/>
        <v>14</v>
      </c>
      <c r="F53">
        <f t="shared" si="1"/>
        <v>2400000</v>
      </c>
    </row>
    <row r="54" spans="1:6" x14ac:dyDescent="0.25">
      <c r="A54">
        <v>14</v>
      </c>
      <c r="B54" t="s">
        <v>46</v>
      </c>
      <c r="C54" t="s">
        <v>47</v>
      </c>
      <c r="D54" t="s">
        <v>48</v>
      </c>
      <c r="E54" s="9">
        <f t="shared" si="0"/>
        <v>2400000</v>
      </c>
      <c r="F54" t="str">
        <f t="shared" si="1"/>
        <v>PC công trình tỉnh</v>
      </c>
    </row>
    <row r="55" spans="1:6" hidden="1" x14ac:dyDescent="0.25">
      <c r="A55" s="9">
        <v>2400000</v>
      </c>
      <c r="E55" s="9" t="str">
        <f t="shared" si="0"/>
        <v>PC công trình tỉnh</v>
      </c>
      <c r="F55" t="str">
        <f t="shared" si="1"/>
        <v>Xóa</v>
      </c>
    </row>
    <row r="56" spans="1:6" hidden="1" x14ac:dyDescent="0.25">
      <c r="A56" t="s">
        <v>18</v>
      </c>
      <c r="E56" s="9" t="str">
        <f t="shared" si="0"/>
        <v>Xóa</v>
      </c>
      <c r="F56">
        <f t="shared" si="1"/>
        <v>15</v>
      </c>
    </row>
    <row r="57" spans="1:6" hidden="1" x14ac:dyDescent="0.25">
      <c r="A57" t="s">
        <v>11</v>
      </c>
      <c r="E57" s="9">
        <f t="shared" si="0"/>
        <v>15</v>
      </c>
      <c r="F57">
        <f t="shared" si="1"/>
        <v>500000</v>
      </c>
    </row>
    <row r="58" spans="1:6" x14ac:dyDescent="0.25">
      <c r="A58">
        <v>15</v>
      </c>
      <c r="B58" t="s">
        <v>49</v>
      </c>
      <c r="C58" t="s">
        <v>50</v>
      </c>
      <c r="D58" t="s">
        <v>38</v>
      </c>
      <c r="E58" s="9">
        <f t="shared" si="0"/>
        <v>500000</v>
      </c>
      <c r="F58" t="str">
        <f t="shared" si="1"/>
        <v>KPI tài xế</v>
      </c>
    </row>
    <row r="59" spans="1:6" hidden="1" x14ac:dyDescent="0.25">
      <c r="A59" s="9">
        <v>500000</v>
      </c>
      <c r="E59" s="9" t="str">
        <f t="shared" si="0"/>
        <v>KPI tài xế</v>
      </c>
      <c r="F59" t="str">
        <f t="shared" si="1"/>
        <v>Xóa</v>
      </c>
    </row>
    <row r="60" spans="1:6" hidden="1" x14ac:dyDescent="0.25">
      <c r="A60" t="s">
        <v>51</v>
      </c>
      <c r="E60" s="9" t="str">
        <f t="shared" si="0"/>
        <v>Xóa</v>
      </c>
      <c r="F60">
        <f t="shared" si="1"/>
        <v>16</v>
      </c>
    </row>
    <row r="61" spans="1:6" hidden="1" x14ac:dyDescent="0.25">
      <c r="A61" t="s">
        <v>11</v>
      </c>
      <c r="E61" s="9">
        <f t="shared" si="0"/>
        <v>16</v>
      </c>
      <c r="F61">
        <f t="shared" si="1"/>
        <v>3000000</v>
      </c>
    </row>
    <row r="62" spans="1:6" x14ac:dyDescent="0.25">
      <c r="A62">
        <v>16</v>
      </c>
      <c r="B62" t="s">
        <v>52</v>
      </c>
      <c r="C62" t="s">
        <v>53</v>
      </c>
      <c r="D62" t="s">
        <v>14</v>
      </c>
      <c r="E62" s="9">
        <f t="shared" si="0"/>
        <v>3000000</v>
      </c>
      <c r="F62" t="str">
        <f t="shared" si="1"/>
        <v>PC chức vụ PGĐ nhà máy (3tr/tháng từ T8/2022)</v>
      </c>
    </row>
    <row r="63" spans="1:6" hidden="1" x14ac:dyDescent="0.25">
      <c r="A63" s="9">
        <v>3000000</v>
      </c>
      <c r="E63" s="9" t="str">
        <f t="shared" si="0"/>
        <v>PC chức vụ PGĐ nhà máy (3tr/tháng từ T8/2022)</v>
      </c>
      <c r="F63" t="str">
        <f t="shared" si="1"/>
        <v>Xóa</v>
      </c>
    </row>
    <row r="64" spans="1:6" hidden="1" x14ac:dyDescent="0.25">
      <c r="A64" t="s">
        <v>54</v>
      </c>
      <c r="E64" s="9" t="str">
        <f t="shared" si="0"/>
        <v>Xóa</v>
      </c>
      <c r="F64">
        <f t="shared" si="1"/>
        <v>0</v>
      </c>
    </row>
    <row r="65" spans="1:6" hidden="1" x14ac:dyDescent="0.25">
      <c r="A65" t="s">
        <v>11</v>
      </c>
      <c r="E65" s="9">
        <f t="shared" si="0"/>
        <v>0</v>
      </c>
      <c r="F65">
        <f t="shared" si="1"/>
        <v>0</v>
      </c>
    </row>
  </sheetData>
  <autoFilter ref="A1:F65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PhieuThuNhapKhac</vt:lpstr>
      <vt:lpstr>Sheet4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thin.votuan</cp:lastModifiedBy>
  <dcterms:created xsi:type="dcterms:W3CDTF">2016-05-30T09:34:52Z</dcterms:created>
  <dcterms:modified xsi:type="dcterms:W3CDTF">2026-03-12T02:23:00Z</dcterms:modified>
</cp:coreProperties>
</file>